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ld_rain\data\"/>
    </mc:Choice>
  </mc:AlternateContent>
  <bookViews>
    <workbookView xWindow="0" yWindow="0" windowWidth="38400" windowHeight="17690" activeTab="2"/>
  </bookViews>
  <sheets>
    <sheet name="Sheet1" sheetId="2" r:id="rId1"/>
    <sheet name="Sheet2" sheetId="3" r:id="rId2"/>
    <sheet name="Sheet3" sheetId="4" r:id="rId3"/>
  </sheets>
  <externalReferences>
    <externalReference r:id="rId4"/>
  </externalReferenc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" i="4"/>
  <c r="D3" i="4"/>
  <c r="D4" i="4"/>
  <c r="D5" i="4"/>
  <c r="D6" i="4"/>
  <c r="D7" i="4"/>
  <c r="D8" i="4"/>
  <c r="D9" i="4"/>
  <c r="D2" i="4"/>
  <c r="C8" i="4"/>
  <c r="C7" i="4"/>
  <c r="C6" i="4"/>
  <c r="C5" i="4"/>
  <c r="C4" i="4"/>
  <c r="C3" i="4"/>
  <c r="C2" i="4"/>
  <c r="C1" i="4"/>
  <c r="C9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" i="4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2" i="2"/>
</calcChain>
</file>

<file path=xl/sharedStrings.xml><?xml version="1.0" encoding="utf-8"?>
<sst xmlns="http://schemas.openxmlformats.org/spreadsheetml/2006/main" count="345" uniqueCount="345">
  <si>
    <t>city</t>
  </si>
  <si>
    <t>The Hague</t>
  </si>
  <si>
    <t>Aberdeen</t>
  </si>
  <si>
    <t>Abidjan</t>
  </si>
  <si>
    <t>Abu Dhabi</t>
  </si>
  <si>
    <t>Abuja</t>
  </si>
  <si>
    <t>Accra</t>
  </si>
  <si>
    <t>Doha</t>
  </si>
  <si>
    <t>Adelaide</t>
  </si>
  <si>
    <t>Ahmedabad</t>
  </si>
  <si>
    <t>Alexandri</t>
  </si>
  <si>
    <t>Kuwait City</t>
  </si>
  <si>
    <t>Cairo</t>
  </si>
  <si>
    <t>Algiers</t>
  </si>
  <si>
    <t>Pittsburgh</t>
  </si>
  <si>
    <t>Almaty</t>
  </si>
  <si>
    <t>Amman</t>
  </si>
  <si>
    <t>Amsterdam</t>
  </si>
  <si>
    <t>Ankara</t>
  </si>
  <si>
    <t>Antwerp</t>
  </si>
  <si>
    <t>Astana</t>
  </si>
  <si>
    <t>Arhus</t>
  </si>
  <si>
    <t>Asuncion</t>
  </si>
  <si>
    <t>Athens</t>
  </si>
  <si>
    <t>Auckland</t>
  </si>
  <si>
    <t>Austin</t>
  </si>
  <si>
    <t>Baku</t>
  </si>
  <si>
    <t>Baltimore</t>
  </si>
  <si>
    <t>Bangalore</t>
  </si>
  <si>
    <t>Bangkok</t>
  </si>
  <si>
    <t>Baoding</t>
  </si>
  <si>
    <t>Barcelona</t>
  </si>
  <si>
    <t>Barranquilla</t>
  </si>
  <si>
    <t>Basel</t>
  </si>
  <si>
    <t>Beijing</t>
  </si>
  <si>
    <t>Beirut</t>
  </si>
  <si>
    <t>Belfast</t>
  </si>
  <si>
    <t>Belo Horizonte</t>
  </si>
  <si>
    <t>Bergen</t>
  </si>
  <si>
    <t>Berlin</t>
  </si>
  <si>
    <t>Bern</t>
  </si>
  <si>
    <t>San Antonio</t>
  </si>
  <si>
    <t>Birmingham (UK)</t>
  </si>
  <si>
    <t>Blantyre</t>
  </si>
  <si>
    <t>Bogota</t>
  </si>
  <si>
    <t>Bologna</t>
  </si>
  <si>
    <t>Bordeaux</t>
  </si>
  <si>
    <t>Brasilia</t>
  </si>
  <si>
    <t>Bratislava</t>
  </si>
  <si>
    <t>Brisbane</t>
  </si>
  <si>
    <t>Bristol</t>
  </si>
  <si>
    <t>Brussels</t>
  </si>
  <si>
    <t>Bucharest</t>
  </si>
  <si>
    <t>Budapest</t>
  </si>
  <si>
    <t>Buenos Aires</t>
  </si>
  <si>
    <t>Campinas</t>
  </si>
  <si>
    <t>Manama</t>
  </si>
  <si>
    <t>Casablanca</t>
  </si>
  <si>
    <t>Cebu</t>
  </si>
  <si>
    <t>Skopje</t>
  </si>
  <si>
    <t>Changchun</t>
  </si>
  <si>
    <t>Changsha</t>
  </si>
  <si>
    <t>Chengdu</t>
  </si>
  <si>
    <t>Chennai</t>
  </si>
  <si>
    <t>Chongqing</t>
  </si>
  <si>
    <t>Christchurch</t>
  </si>
  <si>
    <t>Cape Town</t>
  </si>
  <si>
    <t>Edinburgh</t>
  </si>
  <si>
    <t>Johannesburg</t>
  </si>
  <si>
    <t>Las Vegas</t>
  </si>
  <si>
    <t>Colombo</t>
  </si>
  <si>
    <t>Columbus</t>
  </si>
  <si>
    <t>Montreal</t>
  </si>
  <si>
    <t>Chicago</t>
  </si>
  <si>
    <t>Cordoba</t>
  </si>
  <si>
    <t>Curitiba</t>
  </si>
  <si>
    <t>Dakar</t>
  </si>
  <si>
    <t>Dalian</t>
  </si>
  <si>
    <t>Dallas</t>
  </si>
  <si>
    <t>Dar es Salaam</t>
  </si>
  <si>
    <t>Nashville</t>
  </si>
  <si>
    <t>Denver</t>
  </si>
  <si>
    <t>Des Moines</t>
  </si>
  <si>
    <t>Dhaka</t>
  </si>
  <si>
    <t>Washington DC</t>
  </si>
  <si>
    <t>Caracas</t>
  </si>
  <si>
    <t>Tegucigalpa</t>
  </si>
  <si>
    <t>Mexico City</t>
  </si>
  <si>
    <t>Calgary</t>
  </si>
  <si>
    <t>Dongguan</t>
  </si>
  <si>
    <t>Dresden</t>
  </si>
  <si>
    <t>Dubai</t>
  </si>
  <si>
    <t>Dublin</t>
  </si>
  <si>
    <t>Düsseldorf</t>
  </si>
  <si>
    <t>Jacksonville</t>
  </si>
  <si>
    <t>Edmonton</t>
  </si>
  <si>
    <t>Yerevan</t>
  </si>
  <si>
    <t>Durban</t>
  </si>
  <si>
    <t>Florence</t>
  </si>
  <si>
    <t>Foshan</t>
  </si>
  <si>
    <t>Frankfurt</t>
  </si>
  <si>
    <t>Atlanta (GA)</t>
  </si>
  <si>
    <t>Fuzhou</t>
  </si>
  <si>
    <t>Gaborone</t>
  </si>
  <si>
    <t>Geneva</t>
  </si>
  <si>
    <t>Genoa</t>
  </si>
  <si>
    <t>George Town (Cayman Islands)</t>
  </si>
  <si>
    <t>Glasgow</t>
  </si>
  <si>
    <t>Gothenburg</t>
  </si>
  <si>
    <t>Belgrade</t>
  </si>
  <si>
    <t>London</t>
  </si>
  <si>
    <t>Vancouver</t>
  </si>
  <si>
    <t>Guadalajara</t>
  </si>
  <si>
    <t>Guangzhou</t>
  </si>
  <si>
    <t>Guatemala City</t>
  </si>
  <si>
    <t>Guayaquil</t>
  </si>
  <si>
    <t>Guiyang</t>
  </si>
  <si>
    <t>Hanoi</t>
  </si>
  <si>
    <t>Haikou</t>
  </si>
  <si>
    <t>Halifax</t>
  </si>
  <si>
    <t>Hamburg</t>
  </si>
  <si>
    <t>Hamilton</t>
  </si>
  <si>
    <t>Cincinnati</t>
  </si>
  <si>
    <t>Hangzhou</t>
  </si>
  <si>
    <t>Hannover</t>
  </si>
  <si>
    <t>Harare</t>
  </si>
  <si>
    <t>Harbin</t>
  </si>
  <si>
    <t>Hartford</t>
  </si>
  <si>
    <t>Hefei</t>
  </si>
  <si>
    <t>Helsinki</t>
  </si>
  <si>
    <t>Minneapolis</t>
  </si>
  <si>
    <t>Tampa</t>
  </si>
  <si>
    <t>Ho Chi Minh City</t>
  </si>
  <si>
    <t>Hohhot</t>
  </si>
  <si>
    <t>Hong Kong</t>
  </si>
  <si>
    <t>Houston</t>
  </si>
  <si>
    <t>Hyderabad</t>
  </si>
  <si>
    <t>Islamabad</t>
  </si>
  <si>
    <t>Istanbul</t>
  </si>
  <si>
    <t>Izmir</t>
  </si>
  <si>
    <t>Kansas City</t>
  </si>
  <si>
    <t>Jakarta</t>
  </si>
  <si>
    <t>Birmingham (AL)</t>
  </si>
  <si>
    <t>Louisville</t>
  </si>
  <si>
    <t>Jeddah</t>
  </si>
  <si>
    <t>Jinan</t>
  </si>
  <si>
    <t>Johor Bahru</t>
  </si>
  <si>
    <t>Ciudad Juarez</t>
  </si>
  <si>
    <t>Kampala</t>
  </si>
  <si>
    <t>Kaohsiung</t>
  </si>
  <si>
    <t>Karachi</t>
  </si>
  <si>
    <t>Katowice</t>
  </si>
  <si>
    <t>Kiev</t>
  </si>
  <si>
    <t>Seattle</t>
  </si>
  <si>
    <t>Copenhagen</t>
  </si>
  <si>
    <t>Calcutta</t>
  </si>
  <si>
    <t>Cologne</t>
  </si>
  <si>
    <t>Libreville</t>
  </si>
  <si>
    <t>Krakow</t>
  </si>
  <si>
    <t>Kuala Lumpur</t>
  </si>
  <si>
    <t>Kunming</t>
  </si>
  <si>
    <t>La Paz</t>
  </si>
  <si>
    <t>Labuan</t>
  </si>
  <si>
    <t>Lagos</t>
  </si>
  <si>
    <t>Lahore</t>
  </si>
  <si>
    <t>Lanzhou</t>
  </si>
  <si>
    <t>Lausanne</t>
  </si>
  <si>
    <t>Leeds</t>
  </si>
  <si>
    <t>Leipzig</t>
  </si>
  <si>
    <t>Liege</t>
  </si>
  <si>
    <t>Linz</t>
  </si>
  <si>
    <t>Lille</t>
  </si>
  <si>
    <t>Lima</t>
  </si>
  <si>
    <t>Limassol</t>
  </si>
  <si>
    <t>Lisbon</t>
  </si>
  <si>
    <t>Liverpool</t>
  </si>
  <si>
    <t>Ljubljana</t>
  </si>
  <si>
    <t>Lodz</t>
  </si>
  <si>
    <t>Los Angeles</t>
  </si>
  <si>
    <t>Luanda</t>
  </si>
  <si>
    <t>Lusaka</t>
  </si>
  <si>
    <t>Luxembourg</t>
  </si>
  <si>
    <t>Lyon</t>
  </si>
  <si>
    <t>Macao</t>
  </si>
  <si>
    <t>Madrid</t>
  </si>
  <si>
    <t>Málaga</t>
  </si>
  <si>
    <t>Managua</t>
  </si>
  <si>
    <t>Manchester</t>
  </si>
  <si>
    <t>Manila</t>
  </si>
  <si>
    <t>Mannheim</t>
  </si>
  <si>
    <t>Maputo</t>
  </si>
  <si>
    <t>Phoenix</t>
  </si>
  <si>
    <t>Indianapolis</t>
  </si>
  <si>
    <t>Marseille</t>
  </si>
  <si>
    <t>Charlotte</t>
  </si>
  <si>
    <t>Medellin</t>
  </si>
  <si>
    <t>Melbourne</t>
  </si>
  <si>
    <t>Milan</t>
  </si>
  <si>
    <t>Milwaukee</t>
  </si>
  <si>
    <t>Monterrey</t>
  </si>
  <si>
    <t>Montevideo</t>
  </si>
  <si>
    <t>Moscow</t>
  </si>
  <si>
    <t>Portland</t>
  </si>
  <si>
    <t>Munich</t>
  </si>
  <si>
    <t>Muscat</t>
  </si>
  <si>
    <t>Nagoya</t>
  </si>
  <si>
    <t>Nairobi</t>
  </si>
  <si>
    <t>Nanchang</t>
  </si>
  <si>
    <t>Nanjing</t>
  </si>
  <si>
    <t>Nanning</t>
  </si>
  <si>
    <t>Nantes</t>
  </si>
  <si>
    <t>Naples</t>
  </si>
  <si>
    <t>New Delhi</t>
  </si>
  <si>
    <t>Nassau</t>
  </si>
  <si>
    <t>New York</t>
  </si>
  <si>
    <t>Newcastle</t>
  </si>
  <si>
    <t>Nice</t>
  </si>
  <si>
    <t>Nicosia</t>
  </si>
  <si>
    <t>Ningbo</t>
  </si>
  <si>
    <t>Nottingham</t>
  </si>
  <si>
    <t>Nürnberg</t>
  </si>
  <si>
    <t>Oklahoma City</t>
  </si>
  <si>
    <t>Orlando</t>
  </si>
  <si>
    <t>Osaka</t>
  </si>
  <si>
    <t>Oslo</t>
  </si>
  <si>
    <t>Ottawa</t>
  </si>
  <si>
    <t>Palo Alto</t>
  </si>
  <si>
    <t>Panama City</t>
  </si>
  <si>
    <t>Paris</t>
  </si>
  <si>
    <t>Perth</t>
  </si>
  <si>
    <t>Philadelphia</t>
  </si>
  <si>
    <t>Phnom Penh</t>
  </si>
  <si>
    <t>Podgorica</t>
  </si>
  <si>
    <t>Port Louis</t>
  </si>
  <si>
    <t>Port of Spain</t>
  </si>
  <si>
    <t>Porto</t>
  </si>
  <si>
    <t>Porto Alegre</t>
  </si>
  <si>
    <t>Poznan</t>
  </si>
  <si>
    <t>Prague</t>
  </si>
  <si>
    <t>Puebla</t>
  </si>
  <si>
    <t>Penang</t>
  </si>
  <si>
    <t>Pune</t>
  </si>
  <si>
    <t>Qingdao</t>
  </si>
  <si>
    <t>Queretaro</t>
  </si>
  <si>
    <t>Quito</t>
  </si>
  <si>
    <t>Raleigh</t>
  </si>
  <si>
    <t>Recife</t>
  </si>
  <si>
    <t>Richmond</t>
  </si>
  <si>
    <t>Riga</t>
  </si>
  <si>
    <t>Rio de Janeiro</t>
  </si>
  <si>
    <t>Riyadh</t>
  </si>
  <si>
    <t>Rome</t>
  </si>
  <si>
    <t>Rotterdam</t>
  </si>
  <si>
    <t>Sacramento</t>
  </si>
  <si>
    <t>St Louis</t>
  </si>
  <si>
    <t>Salt Lake City</t>
  </si>
  <si>
    <t>Salvador</t>
  </si>
  <si>
    <t>San Diego</t>
  </si>
  <si>
    <t>San Francisco</t>
  </si>
  <si>
    <t>San José (Costa Rica)</t>
  </si>
  <si>
    <t>San Juan</t>
  </si>
  <si>
    <t>San Luis Potosí</t>
  </si>
  <si>
    <t>San Pedro Sula</t>
  </si>
  <si>
    <t>San Salvador</t>
  </si>
  <si>
    <t>San Jose (CA)</t>
  </si>
  <si>
    <t>Santa Cruz</t>
  </si>
  <si>
    <t>Cali</t>
  </si>
  <si>
    <t>Santiago</t>
  </si>
  <si>
    <t>Santo Domingo</t>
  </si>
  <si>
    <t>Sao Paulo</t>
  </si>
  <si>
    <t>Sarajevo</t>
  </si>
  <si>
    <t>Strasbourg</t>
  </si>
  <si>
    <t>Seoul</t>
  </si>
  <si>
    <t>Seville</t>
  </si>
  <si>
    <t>Shanghai</t>
  </si>
  <si>
    <t>Memphis</t>
  </si>
  <si>
    <t>Shenyang</t>
  </si>
  <si>
    <t>Shenzhen</t>
  </si>
  <si>
    <t>Shijiazhuang</t>
  </si>
  <si>
    <t>Singapore</t>
  </si>
  <si>
    <t>Sofia</t>
  </si>
  <si>
    <t>Southampton</t>
  </si>
  <si>
    <t>Stockholm</t>
  </si>
  <si>
    <t>Stuttgart</t>
  </si>
  <si>
    <t>Boston</t>
  </si>
  <si>
    <t>Surabaya</t>
  </si>
  <si>
    <t>Suzhou</t>
  </si>
  <si>
    <t>Sydney</t>
  </si>
  <si>
    <t>Taichung</t>
  </si>
  <si>
    <t>Taipei</t>
  </si>
  <si>
    <t>Taiyuan</t>
  </si>
  <si>
    <t>Tallinn</t>
  </si>
  <si>
    <t>Tangshan</t>
  </si>
  <si>
    <t>Tbilisi</t>
  </si>
  <si>
    <t>Tel Aviv</t>
  </si>
  <si>
    <t>Tianjin</t>
  </si>
  <si>
    <t>Tijuana</t>
  </si>
  <si>
    <t>Tirana</t>
  </si>
  <si>
    <t>Tokyo</t>
  </si>
  <si>
    <t>Turin</t>
  </si>
  <si>
    <t>Toronto</t>
  </si>
  <si>
    <t>Tashkent</t>
  </si>
  <si>
    <t>Toulouse</t>
  </si>
  <si>
    <t>Tulsa</t>
  </si>
  <si>
    <t>Tunis</t>
  </si>
  <si>
    <t>Ulan Bator</t>
  </si>
  <si>
    <t>Canberra</t>
  </si>
  <si>
    <t>Urumqi</t>
  </si>
  <si>
    <t>Utrecht</t>
  </si>
  <si>
    <t>Valencia (Spain)</t>
  </si>
  <si>
    <t>Vientiane</t>
  </si>
  <si>
    <t>Vilnius</t>
  </si>
  <si>
    <t>Bilbao</t>
  </si>
  <si>
    <t>Warsaw</t>
  </si>
  <si>
    <t>Detroit</t>
  </si>
  <si>
    <t>Wellington</t>
  </si>
  <si>
    <t>Wenzhou</t>
  </si>
  <si>
    <t>Vienna</t>
  </si>
  <si>
    <t>Windhoek</t>
  </si>
  <si>
    <t>Winnipeg</t>
  </si>
  <si>
    <t>Douala</t>
  </si>
  <si>
    <t>Wroclaw</t>
  </si>
  <si>
    <t>Wuhan</t>
  </si>
  <si>
    <t>Wuxi</t>
  </si>
  <si>
    <t>Xi’an</t>
  </si>
  <si>
    <t>Xiamen</t>
  </si>
  <si>
    <t>Yangon</t>
  </si>
  <si>
    <t>Yinchuan</t>
  </si>
  <si>
    <t>Zagreb</t>
  </si>
  <si>
    <t>Zhengzhou</t>
  </si>
  <si>
    <t>Zhuhai</t>
  </si>
  <si>
    <t>Zurich</t>
  </si>
  <si>
    <t>Mumbai</t>
  </si>
  <si>
    <t>Miami</t>
  </si>
  <si>
    <t>Cleveland</t>
  </si>
  <si>
    <t>Malmö</t>
  </si>
  <si>
    <t>Nation</t>
    <phoneticPr fontId="1" type="noConversion"/>
  </si>
  <si>
    <t>10yr</t>
    <phoneticPr fontId="1" type="noConversion"/>
  </si>
  <si>
    <t>20yr</t>
    <phoneticPr fontId="1" type="noConversion"/>
  </si>
  <si>
    <t>50yr</t>
    <phoneticPr fontId="1" type="noConversion"/>
  </si>
  <si>
    <t>100yr</t>
    <phoneticPr fontId="1" type="noConversion"/>
  </si>
  <si>
    <t>行标签</t>
  </si>
  <si>
    <t>(空白)</t>
  </si>
  <si>
    <t>总计</t>
  </si>
  <si>
    <t>计数项:100yr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</si>
</sst>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ld_rain/WATG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G24"/>
      <sheetName val="Sheet1"/>
      <sheetName val="Sheet2"/>
    </sheetNames>
    <sheetDataSet>
      <sheetData sheetId="0"/>
      <sheetData sheetId="1"/>
      <sheetData sheetId="2">
        <row r="1">
          <cell r="A1" t="str">
            <v>city</v>
          </cell>
          <cell r="B1" t="str">
            <v>nation</v>
          </cell>
        </row>
        <row r="2">
          <cell r="A2" t="str">
            <v>London</v>
          </cell>
          <cell r="B2" t="str">
            <v>GBR</v>
          </cell>
        </row>
        <row r="3">
          <cell r="A3" t="str">
            <v>New York</v>
          </cell>
          <cell r="B3" t="str">
            <v>USA</v>
          </cell>
        </row>
        <row r="4">
          <cell r="A4" t="str">
            <v>Hong Kong</v>
          </cell>
          <cell r="B4" t="str">
            <v>HKG</v>
          </cell>
        </row>
        <row r="5">
          <cell r="A5" t="str">
            <v>Beijing</v>
          </cell>
          <cell r="B5" t="str">
            <v>CHN</v>
          </cell>
        </row>
        <row r="6">
          <cell r="A6" t="str">
            <v>Singapore</v>
          </cell>
          <cell r="B6" t="str">
            <v>SGP</v>
          </cell>
        </row>
        <row r="7">
          <cell r="A7" t="str">
            <v>Shanghai</v>
          </cell>
          <cell r="B7" t="str">
            <v>CHN</v>
          </cell>
        </row>
        <row r="8">
          <cell r="A8" t="str">
            <v>Paris</v>
          </cell>
          <cell r="B8" t="str">
            <v>FRA</v>
          </cell>
        </row>
        <row r="9">
          <cell r="A9" t="str">
            <v>Dubai</v>
          </cell>
          <cell r="B9" t="str">
            <v>ARE</v>
          </cell>
        </row>
        <row r="10">
          <cell r="A10" t="str">
            <v>Tokyo</v>
          </cell>
          <cell r="B10" t="str">
            <v>JPN</v>
          </cell>
        </row>
        <row r="11">
          <cell r="A11" t="str">
            <v>Sydney</v>
          </cell>
          <cell r="B11" t="str">
            <v>AUS</v>
          </cell>
        </row>
        <row r="12">
          <cell r="A12" t="str">
            <v>Seoul</v>
          </cell>
          <cell r="B12" t="str">
            <v>KOR</v>
          </cell>
        </row>
        <row r="13">
          <cell r="A13" t="str">
            <v>Milan</v>
          </cell>
          <cell r="B13" t="str">
            <v>ITA</v>
          </cell>
        </row>
        <row r="14">
          <cell r="A14" t="str">
            <v>Toronto</v>
          </cell>
          <cell r="B14" t="str">
            <v>CAN</v>
          </cell>
        </row>
        <row r="15">
          <cell r="A15" t="str">
            <v>Frankfurt</v>
          </cell>
          <cell r="B15" t="str">
            <v>DEU</v>
          </cell>
        </row>
        <row r="16">
          <cell r="A16" t="str">
            <v>Chicago</v>
          </cell>
          <cell r="B16" t="str">
            <v>USA</v>
          </cell>
        </row>
        <row r="17">
          <cell r="A17" t="str">
            <v>Jakarta</v>
          </cell>
          <cell r="B17" t="str">
            <v>IDN</v>
          </cell>
        </row>
        <row r="18">
          <cell r="A18" t="str">
            <v>Sao Paulo</v>
          </cell>
          <cell r="B18" t="str">
            <v>BRA</v>
          </cell>
        </row>
        <row r="19">
          <cell r="A19" t="str">
            <v>Mexico City</v>
          </cell>
          <cell r="B19" t="str">
            <v>MEX</v>
          </cell>
        </row>
        <row r="20">
          <cell r="A20" t="str">
            <v>Mumbai</v>
          </cell>
          <cell r="B20" t="str">
            <v>IND</v>
          </cell>
        </row>
        <row r="21">
          <cell r="A21" t="str">
            <v>Madrid</v>
          </cell>
          <cell r="B21" t="str">
            <v>ESP</v>
          </cell>
        </row>
        <row r="22">
          <cell r="A22" t="str">
            <v>Warsaw</v>
          </cell>
          <cell r="B22" t="str">
            <v>POL</v>
          </cell>
        </row>
        <row r="23">
          <cell r="A23" t="str">
            <v>Guangzhou</v>
          </cell>
          <cell r="B23" t="str">
            <v>CHN</v>
          </cell>
        </row>
        <row r="24">
          <cell r="A24" t="str">
            <v>Istanbul</v>
          </cell>
          <cell r="B24" t="str">
            <v>TUR</v>
          </cell>
        </row>
        <row r="25">
          <cell r="A25" t="str">
            <v>Amsterdam</v>
          </cell>
          <cell r="B25" t="str">
            <v>NLD</v>
          </cell>
        </row>
        <row r="26">
          <cell r="A26" t="str">
            <v>Bangkok</v>
          </cell>
          <cell r="B26" t="str">
            <v>THA</v>
          </cell>
        </row>
        <row r="27">
          <cell r="A27" t="str">
            <v>Los Angeles</v>
          </cell>
          <cell r="B27" t="str">
            <v>USA</v>
          </cell>
        </row>
        <row r="28">
          <cell r="A28" t="str">
            <v>Kuala Lumpur</v>
          </cell>
          <cell r="B28" t="str">
            <v>MYS</v>
          </cell>
        </row>
        <row r="29">
          <cell r="A29" t="str">
            <v>Luxembourg</v>
          </cell>
          <cell r="B29" t="str">
            <v>LUX</v>
          </cell>
        </row>
        <row r="30">
          <cell r="A30" t="str">
            <v>Taipei</v>
          </cell>
          <cell r="B30" t="str">
            <v>TWN</v>
          </cell>
        </row>
        <row r="31">
          <cell r="A31" t="str">
            <v>Shenzhen</v>
          </cell>
          <cell r="B31" t="str">
            <v>CHN</v>
          </cell>
        </row>
        <row r="32">
          <cell r="A32" t="str">
            <v>Brussels</v>
          </cell>
          <cell r="B32" t="str">
            <v>BEL</v>
          </cell>
        </row>
        <row r="33">
          <cell r="A33" t="str">
            <v>Zurich</v>
          </cell>
          <cell r="B33" t="str">
            <v>CHE</v>
          </cell>
        </row>
        <row r="34">
          <cell r="A34" t="str">
            <v>Buenos Aires</v>
          </cell>
          <cell r="B34" t="str">
            <v>ARG</v>
          </cell>
        </row>
        <row r="35">
          <cell r="A35" t="str">
            <v>Melbourne</v>
          </cell>
          <cell r="B35" t="str">
            <v>AUS</v>
          </cell>
        </row>
        <row r="36">
          <cell r="A36" t="str">
            <v>San Francisco</v>
          </cell>
          <cell r="B36" t="str">
            <v>USA</v>
          </cell>
        </row>
        <row r="37">
          <cell r="A37" t="str">
            <v>Riyadh</v>
          </cell>
          <cell r="B37" t="str">
            <v>SAU</v>
          </cell>
        </row>
        <row r="38">
          <cell r="A38" t="str">
            <v>Santiago</v>
          </cell>
          <cell r="B38" t="str">
            <v>CHL</v>
          </cell>
        </row>
        <row r="39">
          <cell r="A39" t="str">
            <v>Düsseldorf</v>
          </cell>
          <cell r="B39" t="str">
            <v>DEU</v>
          </cell>
        </row>
        <row r="40">
          <cell r="A40" t="str">
            <v>Stockholm</v>
          </cell>
          <cell r="B40" t="str">
            <v>SWE</v>
          </cell>
        </row>
        <row r="41">
          <cell r="A41" t="str">
            <v>Washington DC</v>
          </cell>
          <cell r="B41" t="str">
            <v>USA</v>
          </cell>
        </row>
        <row r="42">
          <cell r="A42" t="str">
            <v>Vienna</v>
          </cell>
          <cell r="B42" t="str">
            <v>AUT</v>
          </cell>
        </row>
        <row r="43">
          <cell r="A43" t="str">
            <v>Lisbon</v>
          </cell>
          <cell r="B43" t="str">
            <v>PRT</v>
          </cell>
        </row>
        <row r="44">
          <cell r="A44" t="str">
            <v>Munich</v>
          </cell>
          <cell r="B44" t="str">
            <v>DEU</v>
          </cell>
        </row>
        <row r="45">
          <cell r="A45" t="str">
            <v>Dublin</v>
          </cell>
          <cell r="B45" t="str">
            <v>IRL</v>
          </cell>
        </row>
        <row r="46">
          <cell r="A46" t="str">
            <v>Houston</v>
          </cell>
          <cell r="B46" t="str">
            <v>USA</v>
          </cell>
        </row>
        <row r="47">
          <cell r="A47" t="str">
            <v>Berlin</v>
          </cell>
          <cell r="B47" t="str">
            <v>DEU</v>
          </cell>
        </row>
        <row r="48">
          <cell r="A48" t="str">
            <v>Johannesburg</v>
          </cell>
          <cell r="B48" t="str">
            <v>ZAF</v>
          </cell>
        </row>
        <row r="49">
          <cell r="A49" t="str">
            <v>Boston</v>
          </cell>
          <cell r="B49" t="str">
            <v>USA</v>
          </cell>
        </row>
        <row r="50">
          <cell r="A50" t="str">
            <v>New Delhi</v>
          </cell>
          <cell r="B50" t="str">
            <v>IND</v>
          </cell>
        </row>
        <row r="51">
          <cell r="A51" t="str">
            <v>Bogota</v>
          </cell>
          <cell r="B51" t="str">
            <v>COL</v>
          </cell>
        </row>
        <row r="52">
          <cell r="A52" t="str">
            <v>Ho Chi Minh City</v>
          </cell>
          <cell r="B52" t="str">
            <v>VNM</v>
          </cell>
        </row>
        <row r="53">
          <cell r="A53" t="str">
            <v>Rome</v>
          </cell>
          <cell r="B53" t="str">
            <v>ITA</v>
          </cell>
        </row>
        <row r="54">
          <cell r="A54" t="str">
            <v>Bangalore</v>
          </cell>
          <cell r="B54" t="str">
            <v>IND</v>
          </cell>
        </row>
        <row r="55">
          <cell r="A55" t="str">
            <v>Budapest</v>
          </cell>
          <cell r="B55" t="str">
            <v>HUN</v>
          </cell>
        </row>
        <row r="56">
          <cell r="A56" t="str">
            <v>Athens</v>
          </cell>
          <cell r="B56" t="str">
            <v>GRC</v>
          </cell>
        </row>
        <row r="57">
          <cell r="A57" t="str">
            <v>Hamburg</v>
          </cell>
          <cell r="B57" t="str">
            <v>DEU</v>
          </cell>
        </row>
        <row r="58">
          <cell r="A58" t="str">
            <v>Doha</v>
          </cell>
          <cell r="B58" t="str">
            <v>QAT</v>
          </cell>
        </row>
        <row r="59">
          <cell r="A59" t="str">
            <v>Chengdu</v>
          </cell>
          <cell r="B59" t="str">
            <v>CHN</v>
          </cell>
        </row>
        <row r="60">
          <cell r="A60" t="str">
            <v>Miami</v>
          </cell>
          <cell r="B60" t="str">
            <v>USA</v>
          </cell>
        </row>
        <row r="61">
          <cell r="A61" t="str">
            <v>Tianjin</v>
          </cell>
          <cell r="B61" t="str">
            <v>CHN</v>
          </cell>
        </row>
        <row r="62">
          <cell r="A62" t="str">
            <v>Dallas</v>
          </cell>
          <cell r="B62" t="str">
            <v>USA</v>
          </cell>
        </row>
        <row r="63">
          <cell r="A63" t="str">
            <v>Atlanta (GA)</v>
          </cell>
          <cell r="B63" t="str">
            <v>USA</v>
          </cell>
        </row>
        <row r="64">
          <cell r="A64" t="str">
            <v>Auckland</v>
          </cell>
          <cell r="B64" t="str">
            <v>NZL</v>
          </cell>
        </row>
        <row r="65">
          <cell r="A65" t="str">
            <v>Barcelona</v>
          </cell>
          <cell r="B65" t="str">
            <v>ESP</v>
          </cell>
        </row>
        <row r="66">
          <cell r="A66" t="str">
            <v>Hangzhou</v>
          </cell>
          <cell r="B66" t="str">
            <v>CHN</v>
          </cell>
        </row>
        <row r="67">
          <cell r="A67" t="str">
            <v>Bucharest</v>
          </cell>
          <cell r="B67" t="str">
            <v>ROU</v>
          </cell>
        </row>
        <row r="68">
          <cell r="A68" t="str">
            <v>Lima</v>
          </cell>
          <cell r="B68" t="str">
            <v>PER</v>
          </cell>
        </row>
        <row r="69">
          <cell r="A69" t="str">
            <v>Montreal</v>
          </cell>
          <cell r="B69" t="str">
            <v>CAN</v>
          </cell>
        </row>
        <row r="70">
          <cell r="A70" t="str">
            <v>Prague</v>
          </cell>
          <cell r="B70" t="str">
            <v>CZE</v>
          </cell>
        </row>
        <row r="71">
          <cell r="A71" t="str">
            <v>Chongqing</v>
          </cell>
          <cell r="B71" t="str">
            <v>CHN</v>
          </cell>
        </row>
        <row r="72">
          <cell r="A72" t="str">
            <v>Tel Aviv</v>
          </cell>
          <cell r="B72" t="str">
            <v>ISR</v>
          </cell>
        </row>
        <row r="73">
          <cell r="A73" t="str">
            <v>Brisbane</v>
          </cell>
          <cell r="B73" t="str">
            <v>AUS</v>
          </cell>
        </row>
        <row r="74">
          <cell r="A74" t="str">
            <v>Cairo</v>
          </cell>
          <cell r="B74" t="str">
            <v>EGY</v>
          </cell>
        </row>
        <row r="75">
          <cell r="A75" t="str">
            <v>Hanoi</v>
          </cell>
          <cell r="B75" t="str">
            <v>VNM</v>
          </cell>
        </row>
        <row r="76">
          <cell r="A76" t="str">
            <v>Nanjing</v>
          </cell>
          <cell r="B76" t="str">
            <v>CHN</v>
          </cell>
        </row>
        <row r="77">
          <cell r="A77" t="str">
            <v>Oslo</v>
          </cell>
          <cell r="B77" t="str">
            <v>NOR</v>
          </cell>
        </row>
        <row r="78">
          <cell r="A78" t="str">
            <v>Perth</v>
          </cell>
          <cell r="B78" t="str">
            <v>AUS</v>
          </cell>
        </row>
        <row r="79">
          <cell r="A79" t="str">
            <v>Abu Dhabi</v>
          </cell>
          <cell r="B79" t="str">
            <v>ARE</v>
          </cell>
        </row>
        <row r="80">
          <cell r="A80" t="str">
            <v>Copenhagen</v>
          </cell>
          <cell r="B80" t="str">
            <v>DNK</v>
          </cell>
        </row>
        <row r="81">
          <cell r="A81" t="str">
            <v>Manama</v>
          </cell>
          <cell r="B81" t="str">
            <v>BHR</v>
          </cell>
        </row>
        <row r="82">
          <cell r="A82" t="str">
            <v>Wuhan</v>
          </cell>
          <cell r="B82" t="str">
            <v>CHN</v>
          </cell>
        </row>
        <row r="83">
          <cell r="A83" t="str">
            <v>Manila</v>
          </cell>
          <cell r="B83" t="str">
            <v>PHL</v>
          </cell>
        </row>
        <row r="84">
          <cell r="A84" t="str">
            <v>Xiamen</v>
          </cell>
          <cell r="B84" t="str">
            <v>CHN</v>
          </cell>
        </row>
        <row r="85">
          <cell r="A85" t="str">
            <v>Nairobi</v>
          </cell>
          <cell r="B85" t="str">
            <v>KEN</v>
          </cell>
        </row>
        <row r="86">
          <cell r="A86" t="str">
            <v>Kiev</v>
          </cell>
          <cell r="B86" t="str">
            <v>UKR</v>
          </cell>
        </row>
        <row r="87">
          <cell r="A87" t="str">
            <v>Geneva</v>
          </cell>
          <cell r="B87" t="str">
            <v>CHE</v>
          </cell>
        </row>
        <row r="88">
          <cell r="A88" t="str">
            <v>Jinan</v>
          </cell>
          <cell r="B88" t="str">
            <v>CHN</v>
          </cell>
        </row>
        <row r="89">
          <cell r="A89" t="str">
            <v>Calgary</v>
          </cell>
          <cell r="B89" t="str">
            <v>CAN</v>
          </cell>
        </row>
        <row r="90">
          <cell r="A90" t="str">
            <v>Zhengzhou</v>
          </cell>
          <cell r="B90" t="str">
            <v>CHN</v>
          </cell>
        </row>
        <row r="91">
          <cell r="A91" t="str">
            <v>Shenyang</v>
          </cell>
          <cell r="B91" t="str">
            <v>CHN</v>
          </cell>
        </row>
        <row r="92">
          <cell r="A92" t="str">
            <v>Dalian</v>
          </cell>
          <cell r="B92" t="str">
            <v>CHN</v>
          </cell>
        </row>
        <row r="93">
          <cell r="A93" t="str">
            <v>Suzhou</v>
          </cell>
          <cell r="B93" t="str">
            <v>CHN</v>
          </cell>
        </row>
        <row r="94">
          <cell r="A94" t="str">
            <v>Qingdao</v>
          </cell>
          <cell r="B94" t="str">
            <v>CHN</v>
          </cell>
        </row>
        <row r="95">
          <cell r="A95" t="str">
            <v>Casablanca</v>
          </cell>
          <cell r="B95" t="str">
            <v>MAR</v>
          </cell>
        </row>
        <row r="96">
          <cell r="A96" t="str">
            <v>Changsha</v>
          </cell>
          <cell r="B96" t="str">
            <v>CHN</v>
          </cell>
        </row>
        <row r="97">
          <cell r="A97" t="str">
            <v>Beirut</v>
          </cell>
          <cell r="B97" t="str">
            <v>LBN</v>
          </cell>
        </row>
        <row r="98">
          <cell r="A98" t="str">
            <v>Port Louis</v>
          </cell>
          <cell r="B98" t="str">
            <v>MUS</v>
          </cell>
        </row>
        <row r="99">
          <cell r="A99" t="str">
            <v>Denver</v>
          </cell>
          <cell r="B99" t="str">
            <v>USA</v>
          </cell>
        </row>
        <row r="100">
          <cell r="A100" t="str">
            <v>Lagos</v>
          </cell>
          <cell r="B100" t="str">
            <v>NGA</v>
          </cell>
        </row>
        <row r="101">
          <cell r="A101" t="str">
            <v>Belgrade</v>
          </cell>
          <cell r="B101" t="str">
            <v>SRB</v>
          </cell>
        </row>
        <row r="102">
          <cell r="A102" t="str">
            <v>Montevideo</v>
          </cell>
          <cell r="B102" t="str">
            <v>URY</v>
          </cell>
        </row>
        <row r="103">
          <cell r="A103" t="str">
            <v>Vancouver</v>
          </cell>
          <cell r="B103" t="str">
            <v>CAN</v>
          </cell>
        </row>
        <row r="104">
          <cell r="A104" t="str">
            <v>Seattle</v>
          </cell>
          <cell r="B104" t="str">
            <v>USA</v>
          </cell>
        </row>
        <row r="105">
          <cell r="A105" t="str">
            <v>Manchester</v>
          </cell>
          <cell r="B105" t="str">
            <v>GBR</v>
          </cell>
        </row>
        <row r="106">
          <cell r="A106" t="str">
            <v>Sofia</v>
          </cell>
          <cell r="B106" t="str">
            <v>BGR</v>
          </cell>
        </row>
        <row r="107">
          <cell r="A107" t="str">
            <v>Bratislava</v>
          </cell>
          <cell r="B107" t="str">
            <v>SVK</v>
          </cell>
        </row>
        <row r="108">
          <cell r="A108" t="str">
            <v>Rio de Janeiro</v>
          </cell>
          <cell r="B108" t="str">
            <v>BRA</v>
          </cell>
        </row>
        <row r="109">
          <cell r="A109" t="str">
            <v>Lyon</v>
          </cell>
          <cell r="B109" t="str">
            <v>FRA</v>
          </cell>
        </row>
        <row r="110">
          <cell r="A110" t="str">
            <v>Xi’an</v>
          </cell>
          <cell r="B110" t="str">
            <v>CHN</v>
          </cell>
        </row>
        <row r="111">
          <cell r="A111" t="str">
            <v>Helsinki</v>
          </cell>
          <cell r="B111" t="str">
            <v>FIN</v>
          </cell>
        </row>
        <row r="112">
          <cell r="A112" t="str">
            <v>Kunming</v>
          </cell>
          <cell r="B112" t="str">
            <v>CHN</v>
          </cell>
        </row>
        <row r="113">
          <cell r="A113" t="str">
            <v>Zagreb</v>
          </cell>
          <cell r="B113" t="str">
            <v>HRV</v>
          </cell>
        </row>
        <row r="114">
          <cell r="A114" t="str">
            <v>Nicosia</v>
          </cell>
          <cell r="B114" t="str">
            <v>CYP</v>
          </cell>
        </row>
        <row r="115">
          <cell r="A115" t="str">
            <v>Karachi</v>
          </cell>
          <cell r="B115" t="str">
            <v>PAK</v>
          </cell>
        </row>
        <row r="116">
          <cell r="A116" t="str">
            <v>Caracas</v>
          </cell>
          <cell r="B116" t="str">
            <v>VEN</v>
          </cell>
        </row>
        <row r="117">
          <cell r="A117" t="str">
            <v>Hefei</v>
          </cell>
          <cell r="B117" t="str">
            <v>CHN</v>
          </cell>
        </row>
        <row r="118">
          <cell r="A118" t="str">
            <v>Stuttgart</v>
          </cell>
          <cell r="B118" t="str">
            <v>DEU</v>
          </cell>
        </row>
        <row r="119">
          <cell r="A119" t="str">
            <v>Panama City</v>
          </cell>
          <cell r="B119" t="str">
            <v>PAN</v>
          </cell>
        </row>
        <row r="120">
          <cell r="A120" t="str">
            <v>Chennai</v>
          </cell>
          <cell r="B120" t="str">
            <v>IND</v>
          </cell>
        </row>
        <row r="121">
          <cell r="A121" t="str">
            <v>Philadelphia</v>
          </cell>
          <cell r="B121" t="str">
            <v>USA</v>
          </cell>
        </row>
        <row r="122">
          <cell r="A122" t="str">
            <v>Tunis</v>
          </cell>
          <cell r="B122" t="str">
            <v>TUN</v>
          </cell>
        </row>
        <row r="123">
          <cell r="A123" t="str">
            <v>Fuzhou</v>
          </cell>
          <cell r="B123" t="str">
            <v>CHN</v>
          </cell>
        </row>
        <row r="124">
          <cell r="A124" t="str">
            <v>Guatemala City</v>
          </cell>
          <cell r="B124" t="str">
            <v>GTM</v>
          </cell>
        </row>
        <row r="125">
          <cell r="A125" t="str">
            <v>Hyderabad</v>
          </cell>
          <cell r="B125" t="str">
            <v>IND</v>
          </cell>
        </row>
        <row r="126">
          <cell r="A126" t="str">
            <v>Cape Town</v>
          </cell>
          <cell r="B126" t="str">
            <v>ZAF</v>
          </cell>
        </row>
        <row r="127">
          <cell r="A127" t="str">
            <v>Dhaka</v>
          </cell>
          <cell r="B127" t="str">
            <v>BGD</v>
          </cell>
        </row>
        <row r="128">
          <cell r="A128" t="str">
            <v>Porto</v>
          </cell>
          <cell r="B128" t="str">
            <v>PRT</v>
          </cell>
        </row>
        <row r="129">
          <cell r="A129" t="str">
            <v>Austin</v>
          </cell>
          <cell r="B129" t="str">
            <v>USA</v>
          </cell>
        </row>
        <row r="130">
          <cell r="A130" t="str">
            <v>San Diego</v>
          </cell>
          <cell r="B130" t="str">
            <v>USA</v>
          </cell>
        </row>
        <row r="131">
          <cell r="A131" t="str">
            <v>Minneapolis</v>
          </cell>
          <cell r="B131" t="str">
            <v>USA</v>
          </cell>
        </row>
        <row r="132">
          <cell r="A132" t="str">
            <v>Antwerp</v>
          </cell>
          <cell r="B132" t="str">
            <v>BEL</v>
          </cell>
        </row>
        <row r="133">
          <cell r="A133" t="str">
            <v>Almaty</v>
          </cell>
          <cell r="B133" t="str">
            <v>KAZ</v>
          </cell>
        </row>
        <row r="134">
          <cell r="A134" t="str">
            <v>Amman</v>
          </cell>
          <cell r="B134" t="str">
            <v>JOR</v>
          </cell>
        </row>
        <row r="135">
          <cell r="A135" t="str">
            <v>Santo Domingo</v>
          </cell>
          <cell r="B135" t="str">
            <v>DOM</v>
          </cell>
        </row>
        <row r="136">
          <cell r="A136" t="str">
            <v>Rotterdam</v>
          </cell>
          <cell r="B136" t="str">
            <v>NLD</v>
          </cell>
        </row>
        <row r="137">
          <cell r="A137" t="str">
            <v>Adelaide</v>
          </cell>
          <cell r="B137" t="str">
            <v>AUS</v>
          </cell>
        </row>
        <row r="138">
          <cell r="A138" t="str">
            <v>Lahore</v>
          </cell>
          <cell r="B138" t="str">
            <v>PAK</v>
          </cell>
        </row>
        <row r="139">
          <cell r="A139" t="str">
            <v>Colombo</v>
          </cell>
          <cell r="B139" t="str">
            <v>LKA</v>
          </cell>
        </row>
        <row r="140">
          <cell r="A140" t="str">
            <v>Taiyuan</v>
          </cell>
          <cell r="B140" t="str">
            <v>CHN</v>
          </cell>
        </row>
        <row r="141">
          <cell r="A141" t="str">
            <v>Kuwait City</v>
          </cell>
          <cell r="B141" t="str">
            <v>KWT</v>
          </cell>
        </row>
        <row r="142">
          <cell r="A142" t="str">
            <v>Monterrey</v>
          </cell>
          <cell r="B142" t="str">
            <v>MEX</v>
          </cell>
        </row>
        <row r="143">
          <cell r="A143" t="str">
            <v>Osaka</v>
          </cell>
          <cell r="B143" t="str">
            <v>JPN</v>
          </cell>
        </row>
        <row r="144">
          <cell r="A144" t="str">
            <v>Haikou</v>
          </cell>
          <cell r="B144" t="str">
            <v>CHN</v>
          </cell>
        </row>
        <row r="145">
          <cell r="A145" t="str">
            <v>Tbilisi</v>
          </cell>
          <cell r="B145" t="str">
            <v>GEO</v>
          </cell>
        </row>
        <row r="146">
          <cell r="A146" t="str">
            <v>Tampa</v>
          </cell>
          <cell r="B146" t="str">
            <v>USA</v>
          </cell>
        </row>
        <row r="147">
          <cell r="A147" t="str">
            <v>Tirana</v>
          </cell>
          <cell r="B147" t="str">
            <v>ALB</v>
          </cell>
        </row>
        <row r="148">
          <cell r="A148" t="str">
            <v>Quito</v>
          </cell>
          <cell r="B148" t="str">
            <v>ECU</v>
          </cell>
        </row>
        <row r="149">
          <cell r="A149" t="str">
            <v>Nashville</v>
          </cell>
          <cell r="B149" t="str">
            <v>USA</v>
          </cell>
        </row>
        <row r="150">
          <cell r="A150" t="str">
            <v>Islamabad</v>
          </cell>
          <cell r="B150" t="str">
            <v>PAK</v>
          </cell>
        </row>
        <row r="151">
          <cell r="A151" t="str">
            <v>Kampala</v>
          </cell>
          <cell r="B151" t="str">
            <v>UGA</v>
          </cell>
        </row>
        <row r="152">
          <cell r="A152" t="str">
            <v>San Salvador</v>
          </cell>
          <cell r="B152" t="str">
            <v>SLV</v>
          </cell>
        </row>
        <row r="153">
          <cell r="A153" t="str">
            <v>Muscat</v>
          </cell>
          <cell r="B153" t="str">
            <v>OMN</v>
          </cell>
        </row>
        <row r="154">
          <cell r="A154" t="str">
            <v>Phnom Penh</v>
          </cell>
          <cell r="B154" t="str">
            <v>KHM</v>
          </cell>
        </row>
        <row r="155">
          <cell r="A155" t="str">
            <v>Birmingham (UK)</v>
          </cell>
          <cell r="B155" t="str">
            <v>GBR</v>
          </cell>
        </row>
        <row r="156">
          <cell r="A156" t="str">
            <v>Pune</v>
          </cell>
          <cell r="B156" t="str">
            <v>IND</v>
          </cell>
        </row>
        <row r="157">
          <cell r="A157" t="str">
            <v>Ningbo</v>
          </cell>
          <cell r="B157" t="str">
            <v>CHN</v>
          </cell>
        </row>
        <row r="158">
          <cell r="A158" t="str">
            <v>Harbin</v>
          </cell>
          <cell r="B158" t="str">
            <v>CHN</v>
          </cell>
        </row>
        <row r="159">
          <cell r="A159" t="str">
            <v>San Jose (CA)</v>
          </cell>
          <cell r="B159" t="str">
            <v>USA</v>
          </cell>
        </row>
        <row r="160">
          <cell r="A160" t="str">
            <v>Bologna</v>
          </cell>
          <cell r="B160" t="str">
            <v>ITA</v>
          </cell>
        </row>
        <row r="161">
          <cell r="A161" t="str">
            <v>San José (Costa Rica)</v>
          </cell>
          <cell r="B161" t="str">
            <v>CRI</v>
          </cell>
        </row>
        <row r="162">
          <cell r="A162" t="str">
            <v>Ahmedabad</v>
          </cell>
          <cell r="B162" t="str">
            <v>IND</v>
          </cell>
        </row>
        <row r="163">
          <cell r="A163" t="str">
            <v>Bristol</v>
          </cell>
          <cell r="B163" t="str">
            <v>GBR</v>
          </cell>
        </row>
        <row r="164">
          <cell r="A164" t="str">
            <v>Tegucigalpa</v>
          </cell>
          <cell r="B164" t="str">
            <v>HND</v>
          </cell>
        </row>
        <row r="165">
          <cell r="A165" t="str">
            <v>Riga</v>
          </cell>
          <cell r="B165" t="str">
            <v>LVA</v>
          </cell>
        </row>
        <row r="166">
          <cell r="A166" t="str">
            <v>Detroit</v>
          </cell>
          <cell r="B166" t="str">
            <v>USA</v>
          </cell>
        </row>
        <row r="167">
          <cell r="A167" t="str">
            <v>Poznan</v>
          </cell>
          <cell r="B167" t="str">
            <v>POL</v>
          </cell>
        </row>
        <row r="168">
          <cell r="A168" t="str">
            <v>Labuan</v>
          </cell>
          <cell r="B168" t="str">
            <v>MYS</v>
          </cell>
        </row>
        <row r="169">
          <cell r="A169" t="str">
            <v>Charlotte</v>
          </cell>
          <cell r="B169" t="str">
            <v>USA</v>
          </cell>
        </row>
        <row r="170">
          <cell r="A170" t="str">
            <v>Pittsburgh</v>
          </cell>
          <cell r="B170" t="str">
            <v>USA</v>
          </cell>
        </row>
        <row r="171">
          <cell r="A171" t="str">
            <v>Valencia (Spain)</v>
          </cell>
          <cell r="B171" t="str">
            <v>ESP</v>
          </cell>
        </row>
        <row r="172">
          <cell r="A172" t="str">
            <v>Edinburgh</v>
          </cell>
          <cell r="B172" t="str">
            <v>GBR</v>
          </cell>
        </row>
        <row r="173">
          <cell r="A173" t="str">
            <v>Jeddah</v>
          </cell>
          <cell r="B173" t="str">
            <v>SAU</v>
          </cell>
        </row>
        <row r="174">
          <cell r="A174" t="str">
            <v>Turin</v>
          </cell>
          <cell r="B174" t="str">
            <v>ITA</v>
          </cell>
        </row>
        <row r="175">
          <cell r="A175" t="str">
            <v>Katowice</v>
          </cell>
          <cell r="B175" t="str">
            <v>POL</v>
          </cell>
        </row>
        <row r="176">
          <cell r="A176" t="str">
            <v>Baku</v>
          </cell>
          <cell r="B176" t="str">
            <v>AZE</v>
          </cell>
        </row>
        <row r="177">
          <cell r="A177" t="str">
            <v>Penang</v>
          </cell>
          <cell r="B177" t="str">
            <v>MYS</v>
          </cell>
        </row>
        <row r="178">
          <cell r="A178" t="str">
            <v>Dar es Salaam</v>
          </cell>
          <cell r="B178" t="str">
            <v>TZA</v>
          </cell>
        </row>
        <row r="179">
          <cell r="A179" t="str">
            <v>Wellington</v>
          </cell>
          <cell r="B179" t="str">
            <v>NZL</v>
          </cell>
        </row>
        <row r="180">
          <cell r="A180" t="str">
            <v>Managua</v>
          </cell>
          <cell r="B180" t="str">
            <v>NIC</v>
          </cell>
        </row>
        <row r="181">
          <cell r="A181" t="str">
            <v>Cleveland</v>
          </cell>
          <cell r="B181" t="str">
            <v>USA</v>
          </cell>
        </row>
        <row r="182">
          <cell r="A182" t="str">
            <v>Nanchang</v>
          </cell>
          <cell r="B182" t="str">
            <v>CHN</v>
          </cell>
        </row>
        <row r="183">
          <cell r="A183" t="str">
            <v>Changchun</v>
          </cell>
          <cell r="B183" t="str">
            <v>CHN</v>
          </cell>
        </row>
        <row r="184">
          <cell r="A184" t="str">
            <v>Cali</v>
          </cell>
          <cell r="B184" t="str">
            <v>COL</v>
          </cell>
        </row>
        <row r="185">
          <cell r="A185" t="str">
            <v>St Louis</v>
          </cell>
          <cell r="B185" t="str">
            <v>USA</v>
          </cell>
        </row>
        <row r="186">
          <cell r="A186" t="str">
            <v>Ljubljana</v>
          </cell>
          <cell r="B186" t="str">
            <v>SVN</v>
          </cell>
        </row>
        <row r="187">
          <cell r="A187" t="str">
            <v>Baltimore</v>
          </cell>
          <cell r="B187" t="str">
            <v>USA</v>
          </cell>
        </row>
        <row r="188">
          <cell r="A188" t="str">
            <v>Bilbao</v>
          </cell>
          <cell r="B188" t="str">
            <v>ESP</v>
          </cell>
        </row>
        <row r="189">
          <cell r="A189" t="str">
            <v>Marseille</v>
          </cell>
          <cell r="B189" t="str">
            <v>FRA</v>
          </cell>
        </row>
        <row r="190">
          <cell r="A190" t="str">
            <v>Surabaya</v>
          </cell>
          <cell r="B190" t="str">
            <v>IDN</v>
          </cell>
        </row>
        <row r="191">
          <cell r="A191" t="str">
            <v>Accra</v>
          </cell>
          <cell r="B191" t="str">
            <v>GHA</v>
          </cell>
        </row>
        <row r="192">
          <cell r="A192" t="str">
            <v>Izmir</v>
          </cell>
          <cell r="B192" t="str">
            <v>TUR</v>
          </cell>
        </row>
        <row r="193">
          <cell r="A193" t="str">
            <v>Harare</v>
          </cell>
          <cell r="B193" t="str">
            <v>ZWE</v>
          </cell>
        </row>
        <row r="194">
          <cell r="A194" t="str">
            <v>Maputo</v>
          </cell>
          <cell r="B194" t="str">
            <v>MOZ</v>
          </cell>
        </row>
        <row r="195">
          <cell r="A195" t="str">
            <v>Vilnius</v>
          </cell>
          <cell r="B195" t="str">
            <v>LTU</v>
          </cell>
        </row>
        <row r="196">
          <cell r="A196" t="str">
            <v>Macao</v>
          </cell>
          <cell r="B196" t="str">
            <v>MAC</v>
          </cell>
        </row>
        <row r="197">
          <cell r="A197" t="str">
            <v>Gothenburg</v>
          </cell>
          <cell r="B197" t="str">
            <v>SWE</v>
          </cell>
        </row>
        <row r="198">
          <cell r="A198" t="str">
            <v>Raleigh</v>
          </cell>
          <cell r="B198" t="str">
            <v>USA</v>
          </cell>
        </row>
        <row r="199">
          <cell r="A199" t="str">
            <v>Queretaro</v>
          </cell>
          <cell r="B199" t="str">
            <v>MEX</v>
          </cell>
        </row>
        <row r="200">
          <cell r="A200" t="str">
            <v>Glasgow</v>
          </cell>
          <cell r="B200" t="str">
            <v>GBR</v>
          </cell>
        </row>
        <row r="201">
          <cell r="A201" t="str">
            <v>Zhuhai</v>
          </cell>
          <cell r="B201" t="str">
            <v>CHN</v>
          </cell>
        </row>
        <row r="202">
          <cell r="A202" t="str">
            <v>Phoenix</v>
          </cell>
          <cell r="B202" t="str">
            <v>USA</v>
          </cell>
        </row>
        <row r="203">
          <cell r="A203" t="str">
            <v>Dakar</v>
          </cell>
          <cell r="B203" t="str">
            <v>SEN</v>
          </cell>
        </row>
        <row r="204">
          <cell r="A204" t="str">
            <v>Cincinnati</v>
          </cell>
          <cell r="B204" t="str">
            <v>USA</v>
          </cell>
        </row>
        <row r="205">
          <cell r="A205" t="str">
            <v>Skopje</v>
          </cell>
          <cell r="B205" t="str">
            <v>MKD</v>
          </cell>
        </row>
        <row r="206">
          <cell r="A206" t="str">
            <v>Kansas City</v>
          </cell>
          <cell r="B206" t="str">
            <v>USA</v>
          </cell>
        </row>
        <row r="207">
          <cell r="A207" t="str">
            <v>Limassol</v>
          </cell>
          <cell r="B207" t="str">
            <v>CYP</v>
          </cell>
        </row>
        <row r="208">
          <cell r="A208" t="str">
            <v>La Paz</v>
          </cell>
          <cell r="B208" t="str">
            <v>BOL</v>
          </cell>
        </row>
        <row r="209">
          <cell r="A209" t="str">
            <v>Leeds</v>
          </cell>
          <cell r="B209" t="str">
            <v>GBR</v>
          </cell>
        </row>
        <row r="210">
          <cell r="A210" t="str">
            <v>Guayaquil</v>
          </cell>
          <cell r="B210" t="str">
            <v>ECU</v>
          </cell>
        </row>
        <row r="211">
          <cell r="A211" t="str">
            <v>Hartford</v>
          </cell>
          <cell r="B211" t="str">
            <v>USA</v>
          </cell>
        </row>
        <row r="212">
          <cell r="A212" t="str">
            <v>Belfast</v>
          </cell>
          <cell r="B212" t="str">
            <v>GBR</v>
          </cell>
        </row>
        <row r="213">
          <cell r="A213" t="str">
            <v>Indianapolis</v>
          </cell>
          <cell r="B213" t="str">
            <v>USA</v>
          </cell>
        </row>
        <row r="214">
          <cell r="A214" t="str">
            <v>Algiers</v>
          </cell>
          <cell r="B214" t="str">
            <v>DZA</v>
          </cell>
        </row>
        <row r="215">
          <cell r="A215" t="str">
            <v>Shijiazhuang</v>
          </cell>
          <cell r="B215" t="str">
            <v>CHN</v>
          </cell>
        </row>
        <row r="216">
          <cell r="A216" t="str">
            <v>Lusaka</v>
          </cell>
          <cell r="B216" t="str">
            <v>ZMB</v>
          </cell>
        </row>
        <row r="217">
          <cell r="A217" t="str">
            <v>Guadalajara</v>
          </cell>
          <cell r="B217" t="str">
            <v>MEX</v>
          </cell>
        </row>
        <row r="218">
          <cell r="A218" t="str">
            <v>Strasbourg</v>
          </cell>
          <cell r="B218" t="str">
            <v>FRA</v>
          </cell>
        </row>
        <row r="219">
          <cell r="A219" t="str">
            <v>Columbus</v>
          </cell>
          <cell r="B219" t="str">
            <v>USA</v>
          </cell>
        </row>
        <row r="220">
          <cell r="A220" t="str">
            <v>Ankara</v>
          </cell>
          <cell r="B220" t="str">
            <v>TUR</v>
          </cell>
        </row>
        <row r="221">
          <cell r="A221" t="str">
            <v>Johor Bahru</v>
          </cell>
          <cell r="B221" t="str">
            <v>MYS</v>
          </cell>
        </row>
        <row r="222">
          <cell r="A222" t="str">
            <v>Ottawa</v>
          </cell>
          <cell r="B222" t="str">
            <v>CAN</v>
          </cell>
        </row>
        <row r="223">
          <cell r="A223" t="str">
            <v>Wroclaw</v>
          </cell>
          <cell r="B223" t="str">
            <v>POL</v>
          </cell>
        </row>
        <row r="224">
          <cell r="A224" t="str">
            <v>Urumqi</v>
          </cell>
          <cell r="B224" t="str">
            <v>CHN</v>
          </cell>
        </row>
        <row r="225">
          <cell r="A225" t="str">
            <v>Christchurch</v>
          </cell>
          <cell r="B225" t="str">
            <v>NZL</v>
          </cell>
        </row>
        <row r="226">
          <cell r="A226" t="str">
            <v>Douala</v>
          </cell>
          <cell r="B226" t="str">
            <v>CMR</v>
          </cell>
        </row>
        <row r="227">
          <cell r="A227" t="str">
            <v>Tashkent</v>
          </cell>
          <cell r="B227" t="str">
            <v>UZB</v>
          </cell>
        </row>
        <row r="228">
          <cell r="A228" t="str">
            <v>Lausanne</v>
          </cell>
          <cell r="B228" t="str">
            <v>CHE</v>
          </cell>
        </row>
        <row r="229">
          <cell r="A229" t="str">
            <v>Málaga</v>
          </cell>
          <cell r="B229" t="str">
            <v>ESP</v>
          </cell>
        </row>
        <row r="230">
          <cell r="A230" t="str">
            <v>Wuxi</v>
          </cell>
          <cell r="B230" t="str">
            <v>CHN</v>
          </cell>
        </row>
        <row r="231">
          <cell r="A231" t="str">
            <v>George Town (Cayman Islands)</v>
          </cell>
          <cell r="B231" t="str">
            <v>CYM</v>
          </cell>
        </row>
        <row r="232">
          <cell r="A232" t="str">
            <v>Salt Lake City</v>
          </cell>
          <cell r="B232" t="str">
            <v>USA</v>
          </cell>
        </row>
        <row r="233">
          <cell r="A233" t="str">
            <v>Tallinn</v>
          </cell>
          <cell r="B233" t="str">
            <v>EST</v>
          </cell>
        </row>
        <row r="234">
          <cell r="A234" t="str">
            <v>Nantes</v>
          </cell>
          <cell r="B234" t="str">
            <v>FRA</v>
          </cell>
        </row>
        <row r="235">
          <cell r="A235" t="str">
            <v>Medellin</v>
          </cell>
          <cell r="B235" t="str">
            <v>COL</v>
          </cell>
        </row>
        <row r="236">
          <cell r="A236" t="str">
            <v>Edmonton</v>
          </cell>
          <cell r="B236" t="str">
            <v>CAN</v>
          </cell>
        </row>
        <row r="237">
          <cell r="A237" t="str">
            <v>Utrecht</v>
          </cell>
          <cell r="B237" t="str">
            <v>NLD</v>
          </cell>
        </row>
        <row r="238">
          <cell r="A238" t="str">
            <v>Taichung</v>
          </cell>
          <cell r="B238" t="str">
            <v>TWN</v>
          </cell>
        </row>
        <row r="239">
          <cell r="A239" t="str">
            <v>Campinas</v>
          </cell>
          <cell r="B239" t="str">
            <v>BRA</v>
          </cell>
        </row>
        <row r="240">
          <cell r="A240" t="str">
            <v>Lille</v>
          </cell>
          <cell r="B240" t="str">
            <v>FRA</v>
          </cell>
        </row>
        <row r="241">
          <cell r="A241" t="str">
            <v>Abuja</v>
          </cell>
          <cell r="B241" t="str">
            <v>NGA</v>
          </cell>
        </row>
        <row r="242">
          <cell r="A242" t="str">
            <v>Yangon</v>
          </cell>
          <cell r="B242" t="str">
            <v>MMR</v>
          </cell>
        </row>
        <row r="243">
          <cell r="A243" t="str">
            <v>Krakow</v>
          </cell>
          <cell r="B243" t="str">
            <v>POL</v>
          </cell>
        </row>
        <row r="244">
          <cell r="A244" t="str">
            <v>Jacksonville</v>
          </cell>
          <cell r="B244" t="str">
            <v>USA</v>
          </cell>
        </row>
        <row r="245">
          <cell r="A245" t="str">
            <v>Southampton</v>
          </cell>
          <cell r="B245" t="str">
            <v>GBR</v>
          </cell>
        </row>
        <row r="246">
          <cell r="A246" t="str">
            <v>San Antonio</v>
          </cell>
          <cell r="B246" t="str">
            <v>USA</v>
          </cell>
        </row>
        <row r="247">
          <cell r="A247" t="str">
            <v>Belo Horizonte</v>
          </cell>
          <cell r="B247" t="str">
            <v>BRA</v>
          </cell>
        </row>
        <row r="248">
          <cell r="A248" t="str">
            <v>Leipzig</v>
          </cell>
          <cell r="B248" t="str">
            <v>DEU</v>
          </cell>
        </row>
        <row r="249">
          <cell r="A249" t="str">
            <v>Newcastle</v>
          </cell>
          <cell r="B249" t="str">
            <v>GBR</v>
          </cell>
        </row>
        <row r="250">
          <cell r="A250" t="str">
            <v>Naples</v>
          </cell>
          <cell r="B250" t="str">
            <v>ITA</v>
          </cell>
        </row>
        <row r="251">
          <cell r="A251" t="str">
            <v>Curitiba</v>
          </cell>
          <cell r="B251" t="str">
            <v>BRA</v>
          </cell>
        </row>
        <row r="252">
          <cell r="A252" t="str">
            <v>Luanda</v>
          </cell>
          <cell r="B252" t="str">
            <v>AGO</v>
          </cell>
        </row>
        <row r="253">
          <cell r="A253" t="str">
            <v>Abidjan</v>
          </cell>
          <cell r="B253" t="str">
            <v>CIV</v>
          </cell>
        </row>
        <row r="254">
          <cell r="A254" t="str">
            <v>Milwaukee</v>
          </cell>
          <cell r="B254" t="str">
            <v>USA</v>
          </cell>
        </row>
        <row r="255">
          <cell r="A255" t="str">
            <v>Nassau</v>
          </cell>
          <cell r="B255" t="str">
            <v>BHS</v>
          </cell>
        </row>
        <row r="256">
          <cell r="A256" t="str">
            <v>Gaborone</v>
          </cell>
          <cell r="B256" t="str">
            <v>BWA</v>
          </cell>
        </row>
        <row r="257">
          <cell r="A257" t="str">
            <v>Puebla</v>
          </cell>
          <cell r="B257" t="str">
            <v>MEX</v>
          </cell>
        </row>
        <row r="258">
          <cell r="A258" t="str">
            <v>Toulouse</v>
          </cell>
          <cell r="B258" t="str">
            <v>FRA</v>
          </cell>
        </row>
        <row r="259">
          <cell r="A259" t="str">
            <v>Brasilia</v>
          </cell>
          <cell r="B259" t="str">
            <v>BRA</v>
          </cell>
        </row>
        <row r="260">
          <cell r="A260" t="str">
            <v>Podgorica</v>
          </cell>
          <cell r="B260" t="str">
            <v>MNE</v>
          </cell>
        </row>
        <row r="261">
          <cell r="A261" t="str">
            <v>Kaohsiung</v>
          </cell>
          <cell r="B261" t="str">
            <v>TWN</v>
          </cell>
        </row>
        <row r="262">
          <cell r="A262" t="str">
            <v>Bern</v>
          </cell>
          <cell r="B262" t="str">
            <v>CHE</v>
          </cell>
        </row>
        <row r="263">
          <cell r="A263" t="str">
            <v>Porto Alegre</v>
          </cell>
          <cell r="B263" t="str">
            <v>BRA</v>
          </cell>
        </row>
        <row r="264">
          <cell r="A264" t="str">
            <v>Malmö</v>
          </cell>
          <cell r="B264" t="str">
            <v>SWE</v>
          </cell>
        </row>
        <row r="265">
          <cell r="A265" t="str">
            <v>Des Moines</v>
          </cell>
          <cell r="B265" t="str">
            <v>USA</v>
          </cell>
        </row>
        <row r="266">
          <cell r="A266" t="str">
            <v>Guiyang</v>
          </cell>
          <cell r="B266" t="str">
            <v>CHN</v>
          </cell>
        </row>
        <row r="267">
          <cell r="A267" t="str">
            <v>Nice</v>
          </cell>
          <cell r="B267" t="str">
            <v>FRA</v>
          </cell>
        </row>
        <row r="268">
          <cell r="A268" t="str">
            <v>Tijuana</v>
          </cell>
          <cell r="B268" t="str">
            <v>MEX</v>
          </cell>
        </row>
        <row r="269">
          <cell r="A269" t="str">
            <v>Nanning</v>
          </cell>
          <cell r="B269" t="str">
            <v>CHN</v>
          </cell>
        </row>
        <row r="270">
          <cell r="A270" t="str">
            <v>Canberra</v>
          </cell>
          <cell r="B270" t="str">
            <v>AUS</v>
          </cell>
        </row>
        <row r="271">
          <cell r="A271" t="str">
            <v>Nürnberg</v>
          </cell>
          <cell r="B271" t="str">
            <v>DEU</v>
          </cell>
        </row>
        <row r="272">
          <cell r="A272" t="str">
            <v>Port of Spain</v>
          </cell>
          <cell r="B272" t="str">
            <v>TTO</v>
          </cell>
        </row>
        <row r="273">
          <cell r="A273" t="str">
            <v>Cordoba</v>
          </cell>
          <cell r="B273" t="str">
            <v>ARG</v>
          </cell>
        </row>
        <row r="274">
          <cell r="A274" t="str">
            <v>Sarajevo</v>
          </cell>
          <cell r="B274" t="str">
            <v>BIH</v>
          </cell>
        </row>
        <row r="275">
          <cell r="A275" t="str">
            <v>Foshan</v>
          </cell>
          <cell r="B275" t="str">
            <v>CHN</v>
          </cell>
        </row>
        <row r="276">
          <cell r="A276" t="str">
            <v>Bordeaux</v>
          </cell>
          <cell r="B276" t="str">
            <v>FRA</v>
          </cell>
        </row>
        <row r="277">
          <cell r="A277" t="str">
            <v>Florence</v>
          </cell>
          <cell r="B277" t="str">
            <v>ITA</v>
          </cell>
        </row>
        <row r="278">
          <cell r="A278" t="str">
            <v>Oklahoma City</v>
          </cell>
          <cell r="B278" t="str">
            <v>USA</v>
          </cell>
        </row>
        <row r="279">
          <cell r="A279" t="str">
            <v>Astana</v>
          </cell>
          <cell r="B279" t="str">
            <v>KAZ</v>
          </cell>
        </row>
        <row r="280">
          <cell r="A280" t="str">
            <v>Genoa</v>
          </cell>
          <cell r="B280" t="str">
            <v>ITA</v>
          </cell>
        </row>
        <row r="281">
          <cell r="A281" t="str">
            <v>Nagoya</v>
          </cell>
          <cell r="B281" t="str">
            <v>JPN</v>
          </cell>
        </row>
        <row r="282">
          <cell r="A282" t="str">
            <v>Lanzhou</v>
          </cell>
          <cell r="B282" t="str">
            <v>CHN</v>
          </cell>
        </row>
        <row r="283">
          <cell r="A283" t="str">
            <v>Durban</v>
          </cell>
          <cell r="B283" t="str">
            <v>ZAF</v>
          </cell>
        </row>
        <row r="284">
          <cell r="A284" t="str">
            <v>Dongguan</v>
          </cell>
          <cell r="B284" t="str">
            <v>CHN</v>
          </cell>
        </row>
        <row r="285">
          <cell r="A285" t="str">
            <v>Portland</v>
          </cell>
          <cell r="B285" t="str">
            <v>USA</v>
          </cell>
        </row>
        <row r="286">
          <cell r="A286" t="str">
            <v>San Juan</v>
          </cell>
          <cell r="B286" t="str">
            <v>PRI</v>
          </cell>
        </row>
        <row r="287">
          <cell r="A287" t="str">
            <v>Bergen</v>
          </cell>
          <cell r="B287" t="str">
            <v>NOR</v>
          </cell>
        </row>
        <row r="288">
          <cell r="A288" t="str">
            <v>Yerevan</v>
          </cell>
          <cell r="B288" t="str">
            <v>ARM</v>
          </cell>
        </row>
        <row r="289">
          <cell r="A289" t="str">
            <v>Richmond</v>
          </cell>
          <cell r="B289" t="str">
            <v>USA</v>
          </cell>
        </row>
        <row r="290">
          <cell r="A290" t="str">
            <v>Santa Cruz</v>
          </cell>
          <cell r="B290" t="str">
            <v>BOL</v>
          </cell>
        </row>
        <row r="291">
          <cell r="A291" t="str">
            <v>Asuncion</v>
          </cell>
          <cell r="B291" t="str">
            <v>PRY</v>
          </cell>
        </row>
        <row r="292">
          <cell r="A292" t="str">
            <v>Sacramento</v>
          </cell>
          <cell r="B292" t="str">
            <v>USA</v>
          </cell>
        </row>
        <row r="293">
          <cell r="A293" t="str">
            <v>Cebu</v>
          </cell>
          <cell r="B293" t="str">
            <v>PHL</v>
          </cell>
        </row>
        <row r="294">
          <cell r="A294" t="str">
            <v>Hohhot</v>
          </cell>
          <cell r="B294" t="str">
            <v>CHN</v>
          </cell>
        </row>
        <row r="295">
          <cell r="A295" t="str">
            <v>Cologne</v>
          </cell>
          <cell r="B295" t="str">
            <v>DEU</v>
          </cell>
        </row>
        <row r="296">
          <cell r="A296" t="str">
            <v>The Hague</v>
          </cell>
          <cell r="B296" t="str">
            <v>NLD</v>
          </cell>
        </row>
        <row r="297">
          <cell r="A297" t="str">
            <v>Birmingham (AL)</v>
          </cell>
          <cell r="B297" t="str">
            <v>USA</v>
          </cell>
        </row>
        <row r="298">
          <cell r="A298" t="str">
            <v>Las Vegas</v>
          </cell>
          <cell r="B298" t="str">
            <v>USA</v>
          </cell>
        </row>
        <row r="299">
          <cell r="A299" t="str">
            <v>Ciudad Juarez</v>
          </cell>
          <cell r="B299" t="str">
            <v>MEX</v>
          </cell>
        </row>
        <row r="300">
          <cell r="A300" t="str">
            <v>Winnipeg</v>
          </cell>
          <cell r="B300" t="str">
            <v>CAN</v>
          </cell>
        </row>
        <row r="301">
          <cell r="A301" t="str">
            <v>Orlando</v>
          </cell>
          <cell r="B301" t="str">
            <v>USA</v>
          </cell>
        </row>
        <row r="302">
          <cell r="A302" t="str">
            <v>Windhoek</v>
          </cell>
          <cell r="B302" t="str">
            <v>NAM</v>
          </cell>
        </row>
        <row r="303">
          <cell r="A303" t="str">
            <v>Hannover</v>
          </cell>
          <cell r="B303" t="str">
            <v>DEU</v>
          </cell>
        </row>
        <row r="304">
          <cell r="A304" t="str">
            <v>Louisville</v>
          </cell>
          <cell r="B304" t="str">
            <v>USA</v>
          </cell>
        </row>
        <row r="305">
          <cell r="A305" t="str">
            <v>Aberdeen</v>
          </cell>
          <cell r="B305" t="str">
            <v>GBR</v>
          </cell>
        </row>
        <row r="306">
          <cell r="A306" t="str">
            <v>Liege</v>
          </cell>
          <cell r="B306" t="str">
            <v>BEL</v>
          </cell>
        </row>
        <row r="307">
          <cell r="A307" t="str">
            <v>Liverpool</v>
          </cell>
          <cell r="B307" t="str">
            <v>GBR</v>
          </cell>
        </row>
        <row r="308">
          <cell r="A308" t="str">
            <v>Basel</v>
          </cell>
          <cell r="B308" t="str">
            <v>CHE</v>
          </cell>
        </row>
        <row r="309">
          <cell r="A309" t="str">
            <v>Tulsa</v>
          </cell>
          <cell r="B309" t="str">
            <v>USA</v>
          </cell>
        </row>
        <row r="310">
          <cell r="A310" t="str">
            <v>Mannheim</v>
          </cell>
          <cell r="B310" t="str">
            <v>DEU</v>
          </cell>
        </row>
        <row r="311">
          <cell r="A311" t="str">
            <v>Palo Alto</v>
          </cell>
          <cell r="B311" t="str">
            <v>USA</v>
          </cell>
        </row>
        <row r="312">
          <cell r="A312" t="str">
            <v>San Pedro Sula</v>
          </cell>
          <cell r="B312" t="str">
            <v>HND</v>
          </cell>
        </row>
        <row r="313">
          <cell r="A313" t="str">
            <v>Seville</v>
          </cell>
          <cell r="B313" t="str">
            <v>ESP</v>
          </cell>
        </row>
        <row r="314">
          <cell r="A314" t="str">
            <v>Recife</v>
          </cell>
          <cell r="B314" t="str">
            <v>BRA</v>
          </cell>
        </row>
        <row r="315">
          <cell r="A315" t="str">
            <v>Alexandri</v>
          </cell>
          <cell r="B315" t="str">
            <v>EGY</v>
          </cell>
        </row>
        <row r="316">
          <cell r="A316" t="str">
            <v>Moscow</v>
          </cell>
          <cell r="B316" t="str">
            <v>RUS</v>
          </cell>
        </row>
        <row r="317">
          <cell r="A317" t="str">
            <v>Vientiane</v>
          </cell>
          <cell r="B317" t="str">
            <v>LAO</v>
          </cell>
        </row>
        <row r="318">
          <cell r="A318" t="str">
            <v>Tangshan</v>
          </cell>
          <cell r="B318" t="str">
            <v>CHN</v>
          </cell>
        </row>
        <row r="319">
          <cell r="A319" t="str">
            <v>Ulan Bator</v>
          </cell>
          <cell r="B319" t="str">
            <v>MNG</v>
          </cell>
        </row>
        <row r="320">
          <cell r="A320" t="str">
            <v>Salvador</v>
          </cell>
          <cell r="B320" t="str">
            <v>BRA</v>
          </cell>
        </row>
        <row r="321">
          <cell r="A321" t="str">
            <v>Memphis</v>
          </cell>
          <cell r="B321" t="str">
            <v>USA</v>
          </cell>
        </row>
        <row r="322">
          <cell r="A322" t="str">
            <v>Yinchuan</v>
          </cell>
          <cell r="B322" t="str">
            <v>CHN</v>
          </cell>
        </row>
        <row r="323">
          <cell r="A323" t="str">
            <v>Linz</v>
          </cell>
          <cell r="B323" t="str">
            <v>AUT</v>
          </cell>
        </row>
        <row r="324">
          <cell r="A324" t="str">
            <v>Calcutta</v>
          </cell>
          <cell r="B324" t="str">
            <v>IND</v>
          </cell>
        </row>
        <row r="325">
          <cell r="A325" t="str">
            <v>Halifax</v>
          </cell>
          <cell r="B325" t="str">
            <v>CAN</v>
          </cell>
        </row>
        <row r="326">
          <cell r="A326" t="str">
            <v>San Luis Potosí</v>
          </cell>
          <cell r="B326" t="str">
            <v>MEX</v>
          </cell>
        </row>
        <row r="327">
          <cell r="A327" t="str">
            <v>Barranquilla</v>
          </cell>
          <cell r="B327" t="str">
            <v>COL</v>
          </cell>
        </row>
        <row r="328">
          <cell r="A328" t="str">
            <v>Libreville</v>
          </cell>
          <cell r="B328" t="str">
            <v>GAB</v>
          </cell>
        </row>
        <row r="329">
          <cell r="A329" t="str">
            <v>Lodz</v>
          </cell>
          <cell r="B329" t="str">
            <v>POL</v>
          </cell>
        </row>
        <row r="330">
          <cell r="A330" t="str">
            <v>Hamilton</v>
          </cell>
          <cell r="B330" t="str">
            <v>CAN</v>
          </cell>
        </row>
        <row r="331">
          <cell r="A331" t="str">
            <v>Dresden</v>
          </cell>
          <cell r="B331" t="str">
            <v>DEU</v>
          </cell>
        </row>
        <row r="332">
          <cell r="A332" t="str">
            <v>Arhus</v>
          </cell>
          <cell r="B332" t="str">
            <v>DNK</v>
          </cell>
        </row>
        <row r="333">
          <cell r="A333" t="str">
            <v>Baoding</v>
          </cell>
          <cell r="B333" t="str">
            <v>CHN</v>
          </cell>
        </row>
        <row r="334">
          <cell r="A334" t="str">
            <v>Wenzhou</v>
          </cell>
          <cell r="B334" t="str">
            <v>CHN</v>
          </cell>
        </row>
        <row r="335">
          <cell r="A335" t="str">
            <v>Blantyre</v>
          </cell>
          <cell r="B335" t="str">
            <v>MWI</v>
          </cell>
        </row>
        <row r="336">
          <cell r="A336" t="str">
            <v>Nottingham</v>
          </cell>
          <cell r="B336" t="str">
            <v>GBR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ianyu" refreshedDate="45925.631516666668" createdVersion="6" refreshedVersion="6" minRefreshableVersion="3" recordCount="336">
  <cacheSource type="worksheet">
    <worksheetSource ref="C1:F1048576" sheet="Sheet1"/>
  </cacheSource>
  <cacheFields count="4">
    <cacheField name="10yr" numFmtId="0">
      <sharedItems containsString="0" containsBlank="1" containsNumber="1" containsInteger="1" minValue="0" maxValue="11" count="10">
        <n v="0"/>
        <n v="1"/>
        <n v="2"/>
        <n v="3"/>
        <n v="4"/>
        <n v="5"/>
        <n v="6"/>
        <n v="8"/>
        <n v="11"/>
        <m/>
      </sharedItems>
    </cacheField>
    <cacheField name="20yr" numFmtId="0">
      <sharedItems containsString="0" containsBlank="1" containsNumber="1" containsInteger="1" minValue="0" maxValue="5" count="7">
        <n v="3"/>
        <n v="2"/>
        <n v="0"/>
        <n v="1"/>
        <n v="4"/>
        <n v="5"/>
        <m/>
      </sharedItems>
    </cacheField>
    <cacheField name="50yr" numFmtId="0">
      <sharedItems containsString="0" containsBlank="1" containsNumber="1" containsInteger="1" minValue="0" maxValue="5" count="7">
        <n v="0"/>
        <n v="1"/>
        <n v="5"/>
        <n v="2"/>
        <n v="4"/>
        <n v="3"/>
        <m/>
      </sharedItems>
    </cacheField>
    <cacheField name="100yr" numFmtId="0">
      <sharedItems containsString="0" containsBlank="1" containsNumber="1" containsInteger="1" minValue="0" maxValue="5" count="7">
        <n v="1"/>
        <n v="4"/>
        <n v="2"/>
        <n v="5"/>
        <n v="0"/>
        <n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6">
  <r>
    <x v="0"/>
    <x v="0"/>
    <x v="0"/>
    <x v="0"/>
  </r>
  <r>
    <x v="0"/>
    <x v="1"/>
    <x v="0"/>
    <x v="1"/>
  </r>
  <r>
    <x v="0"/>
    <x v="1"/>
    <x v="0"/>
    <x v="2"/>
  </r>
  <r>
    <x v="0"/>
    <x v="2"/>
    <x v="0"/>
    <x v="3"/>
  </r>
  <r>
    <x v="0"/>
    <x v="3"/>
    <x v="0"/>
    <x v="0"/>
  </r>
  <r>
    <x v="0"/>
    <x v="3"/>
    <x v="1"/>
    <x v="2"/>
  </r>
  <r>
    <x v="0"/>
    <x v="3"/>
    <x v="1"/>
    <x v="4"/>
  </r>
  <r>
    <x v="0"/>
    <x v="0"/>
    <x v="0"/>
    <x v="2"/>
  </r>
  <r>
    <x v="0"/>
    <x v="3"/>
    <x v="0"/>
    <x v="0"/>
  </r>
  <r>
    <x v="0"/>
    <x v="3"/>
    <x v="0"/>
    <x v="4"/>
  </r>
  <r>
    <x v="0"/>
    <x v="3"/>
    <x v="1"/>
    <x v="0"/>
  </r>
  <r>
    <x v="0"/>
    <x v="4"/>
    <x v="0"/>
    <x v="0"/>
  </r>
  <r>
    <x v="0"/>
    <x v="3"/>
    <x v="0"/>
    <x v="2"/>
  </r>
  <r>
    <x v="0"/>
    <x v="3"/>
    <x v="0"/>
    <x v="4"/>
  </r>
  <r>
    <x v="0"/>
    <x v="1"/>
    <x v="1"/>
    <x v="0"/>
  </r>
  <r>
    <x v="0"/>
    <x v="1"/>
    <x v="2"/>
    <x v="4"/>
  </r>
  <r>
    <x v="0"/>
    <x v="3"/>
    <x v="1"/>
    <x v="2"/>
  </r>
  <r>
    <x v="0"/>
    <x v="1"/>
    <x v="1"/>
    <x v="0"/>
  </r>
  <r>
    <x v="0"/>
    <x v="3"/>
    <x v="0"/>
    <x v="4"/>
  </r>
  <r>
    <x v="0"/>
    <x v="3"/>
    <x v="1"/>
    <x v="0"/>
  </r>
  <r>
    <x v="0"/>
    <x v="2"/>
    <x v="0"/>
    <x v="5"/>
  </r>
  <r>
    <x v="0"/>
    <x v="3"/>
    <x v="0"/>
    <x v="5"/>
  </r>
  <r>
    <x v="0"/>
    <x v="2"/>
    <x v="0"/>
    <x v="0"/>
  </r>
  <r>
    <x v="0"/>
    <x v="3"/>
    <x v="0"/>
    <x v="2"/>
  </r>
  <r>
    <x v="0"/>
    <x v="3"/>
    <x v="0"/>
    <x v="5"/>
  </r>
  <r>
    <x v="0"/>
    <x v="3"/>
    <x v="3"/>
    <x v="0"/>
  </r>
  <r>
    <x v="0"/>
    <x v="3"/>
    <x v="0"/>
    <x v="0"/>
  </r>
  <r>
    <x v="0"/>
    <x v="3"/>
    <x v="0"/>
    <x v="2"/>
  </r>
  <r>
    <x v="0"/>
    <x v="2"/>
    <x v="0"/>
    <x v="0"/>
  </r>
  <r>
    <x v="0"/>
    <x v="2"/>
    <x v="1"/>
    <x v="0"/>
  </r>
  <r>
    <x v="0"/>
    <x v="3"/>
    <x v="1"/>
    <x v="0"/>
  </r>
  <r>
    <x v="0"/>
    <x v="2"/>
    <x v="0"/>
    <x v="0"/>
  </r>
  <r>
    <x v="0"/>
    <x v="3"/>
    <x v="0"/>
    <x v="2"/>
  </r>
  <r>
    <x v="0"/>
    <x v="1"/>
    <x v="0"/>
    <x v="4"/>
  </r>
  <r>
    <x v="0"/>
    <x v="0"/>
    <x v="1"/>
    <x v="4"/>
  </r>
  <r>
    <x v="0"/>
    <x v="2"/>
    <x v="0"/>
    <x v="4"/>
  </r>
  <r>
    <x v="0"/>
    <x v="2"/>
    <x v="0"/>
    <x v="2"/>
  </r>
  <r>
    <x v="0"/>
    <x v="2"/>
    <x v="1"/>
    <x v="0"/>
  </r>
  <r>
    <x v="0"/>
    <x v="1"/>
    <x v="0"/>
    <x v="4"/>
  </r>
  <r>
    <x v="0"/>
    <x v="2"/>
    <x v="0"/>
    <x v="2"/>
  </r>
  <r>
    <x v="0"/>
    <x v="2"/>
    <x v="3"/>
    <x v="0"/>
  </r>
  <r>
    <x v="0"/>
    <x v="0"/>
    <x v="1"/>
    <x v="4"/>
  </r>
  <r>
    <x v="0"/>
    <x v="0"/>
    <x v="0"/>
    <x v="0"/>
  </r>
  <r>
    <x v="0"/>
    <x v="5"/>
    <x v="0"/>
    <x v="4"/>
  </r>
  <r>
    <x v="0"/>
    <x v="3"/>
    <x v="1"/>
    <x v="0"/>
  </r>
  <r>
    <x v="0"/>
    <x v="3"/>
    <x v="0"/>
    <x v="2"/>
  </r>
  <r>
    <x v="0"/>
    <x v="3"/>
    <x v="0"/>
    <x v="4"/>
  </r>
  <r>
    <x v="0"/>
    <x v="1"/>
    <x v="0"/>
    <x v="0"/>
  </r>
  <r>
    <x v="0"/>
    <x v="2"/>
    <x v="0"/>
    <x v="0"/>
  </r>
  <r>
    <x v="0"/>
    <x v="1"/>
    <x v="1"/>
    <x v="0"/>
  </r>
  <r>
    <x v="0"/>
    <x v="2"/>
    <x v="0"/>
    <x v="4"/>
  </r>
  <r>
    <x v="0"/>
    <x v="2"/>
    <x v="0"/>
    <x v="0"/>
  </r>
  <r>
    <x v="0"/>
    <x v="1"/>
    <x v="0"/>
    <x v="0"/>
  </r>
  <r>
    <x v="0"/>
    <x v="2"/>
    <x v="0"/>
    <x v="2"/>
  </r>
  <r>
    <x v="0"/>
    <x v="3"/>
    <x v="0"/>
    <x v="0"/>
  </r>
  <r>
    <x v="0"/>
    <x v="0"/>
    <x v="0"/>
    <x v="0"/>
  </r>
  <r>
    <x v="0"/>
    <x v="0"/>
    <x v="1"/>
    <x v="4"/>
  </r>
  <r>
    <x v="0"/>
    <x v="4"/>
    <x v="0"/>
    <x v="4"/>
  </r>
  <r>
    <x v="0"/>
    <x v="0"/>
    <x v="1"/>
    <x v="4"/>
  </r>
  <r>
    <x v="0"/>
    <x v="2"/>
    <x v="0"/>
    <x v="2"/>
  </r>
  <r>
    <x v="0"/>
    <x v="2"/>
    <x v="0"/>
    <x v="5"/>
  </r>
  <r>
    <x v="0"/>
    <x v="2"/>
    <x v="0"/>
    <x v="2"/>
  </r>
  <r>
    <x v="0"/>
    <x v="2"/>
    <x v="4"/>
    <x v="4"/>
  </r>
  <r>
    <x v="0"/>
    <x v="0"/>
    <x v="0"/>
    <x v="4"/>
  </r>
  <r>
    <x v="0"/>
    <x v="3"/>
    <x v="0"/>
    <x v="4"/>
  </r>
  <r>
    <x v="0"/>
    <x v="2"/>
    <x v="1"/>
    <x v="0"/>
  </r>
  <r>
    <x v="0"/>
    <x v="2"/>
    <x v="0"/>
    <x v="0"/>
  </r>
  <r>
    <x v="0"/>
    <x v="1"/>
    <x v="0"/>
    <x v="4"/>
  </r>
  <r>
    <x v="0"/>
    <x v="3"/>
    <x v="1"/>
    <x v="0"/>
  </r>
  <r>
    <x v="0"/>
    <x v="3"/>
    <x v="1"/>
    <x v="0"/>
  </r>
  <r>
    <x v="0"/>
    <x v="3"/>
    <x v="0"/>
    <x v="4"/>
  </r>
  <r>
    <x v="0"/>
    <x v="3"/>
    <x v="0"/>
    <x v="2"/>
  </r>
  <r>
    <x v="0"/>
    <x v="3"/>
    <x v="1"/>
    <x v="4"/>
  </r>
  <r>
    <x v="0"/>
    <x v="3"/>
    <x v="0"/>
    <x v="4"/>
  </r>
  <r>
    <x v="0"/>
    <x v="1"/>
    <x v="1"/>
    <x v="4"/>
  </r>
  <r>
    <x v="1"/>
    <x v="0"/>
    <x v="0"/>
    <x v="2"/>
  </r>
  <r>
    <x v="1"/>
    <x v="0"/>
    <x v="0"/>
    <x v="0"/>
  </r>
  <r>
    <x v="1"/>
    <x v="1"/>
    <x v="0"/>
    <x v="4"/>
  </r>
  <r>
    <x v="1"/>
    <x v="0"/>
    <x v="1"/>
    <x v="4"/>
  </r>
  <r>
    <x v="1"/>
    <x v="0"/>
    <x v="0"/>
    <x v="0"/>
  </r>
  <r>
    <x v="1"/>
    <x v="3"/>
    <x v="0"/>
    <x v="2"/>
  </r>
  <r>
    <x v="1"/>
    <x v="1"/>
    <x v="1"/>
    <x v="2"/>
  </r>
  <r>
    <x v="1"/>
    <x v="0"/>
    <x v="3"/>
    <x v="4"/>
  </r>
  <r>
    <x v="1"/>
    <x v="0"/>
    <x v="0"/>
    <x v="4"/>
  </r>
  <r>
    <x v="1"/>
    <x v="3"/>
    <x v="1"/>
    <x v="0"/>
  </r>
  <r>
    <x v="1"/>
    <x v="1"/>
    <x v="1"/>
    <x v="4"/>
  </r>
  <r>
    <x v="1"/>
    <x v="1"/>
    <x v="3"/>
    <x v="4"/>
  </r>
  <r>
    <x v="1"/>
    <x v="1"/>
    <x v="1"/>
    <x v="0"/>
  </r>
  <r>
    <x v="1"/>
    <x v="1"/>
    <x v="0"/>
    <x v="0"/>
  </r>
  <r>
    <x v="1"/>
    <x v="2"/>
    <x v="0"/>
    <x v="0"/>
  </r>
  <r>
    <x v="1"/>
    <x v="4"/>
    <x v="0"/>
    <x v="4"/>
  </r>
  <r>
    <x v="1"/>
    <x v="3"/>
    <x v="0"/>
    <x v="4"/>
  </r>
  <r>
    <x v="1"/>
    <x v="3"/>
    <x v="1"/>
    <x v="4"/>
  </r>
  <r>
    <x v="1"/>
    <x v="2"/>
    <x v="0"/>
    <x v="5"/>
  </r>
  <r>
    <x v="1"/>
    <x v="2"/>
    <x v="0"/>
    <x v="0"/>
  </r>
  <r>
    <x v="1"/>
    <x v="2"/>
    <x v="0"/>
    <x v="0"/>
  </r>
  <r>
    <x v="1"/>
    <x v="2"/>
    <x v="0"/>
    <x v="2"/>
  </r>
  <r>
    <x v="1"/>
    <x v="3"/>
    <x v="3"/>
    <x v="0"/>
  </r>
  <r>
    <x v="1"/>
    <x v="2"/>
    <x v="0"/>
    <x v="2"/>
  </r>
  <r>
    <x v="1"/>
    <x v="4"/>
    <x v="0"/>
    <x v="0"/>
  </r>
  <r>
    <x v="1"/>
    <x v="2"/>
    <x v="1"/>
    <x v="0"/>
  </r>
  <r>
    <x v="1"/>
    <x v="1"/>
    <x v="1"/>
    <x v="4"/>
  </r>
  <r>
    <x v="1"/>
    <x v="3"/>
    <x v="1"/>
    <x v="0"/>
  </r>
  <r>
    <x v="1"/>
    <x v="3"/>
    <x v="1"/>
    <x v="0"/>
  </r>
  <r>
    <x v="1"/>
    <x v="2"/>
    <x v="0"/>
    <x v="0"/>
  </r>
  <r>
    <x v="1"/>
    <x v="2"/>
    <x v="3"/>
    <x v="4"/>
  </r>
  <r>
    <x v="1"/>
    <x v="1"/>
    <x v="3"/>
    <x v="4"/>
  </r>
  <r>
    <x v="1"/>
    <x v="2"/>
    <x v="0"/>
    <x v="0"/>
  </r>
  <r>
    <x v="1"/>
    <x v="3"/>
    <x v="0"/>
    <x v="0"/>
  </r>
  <r>
    <x v="1"/>
    <x v="1"/>
    <x v="3"/>
    <x v="4"/>
  </r>
  <r>
    <x v="1"/>
    <x v="3"/>
    <x v="0"/>
    <x v="0"/>
  </r>
  <r>
    <x v="1"/>
    <x v="2"/>
    <x v="0"/>
    <x v="0"/>
  </r>
  <r>
    <x v="1"/>
    <x v="1"/>
    <x v="0"/>
    <x v="0"/>
  </r>
  <r>
    <x v="1"/>
    <x v="0"/>
    <x v="0"/>
    <x v="4"/>
  </r>
  <r>
    <x v="1"/>
    <x v="3"/>
    <x v="0"/>
    <x v="0"/>
  </r>
  <r>
    <x v="1"/>
    <x v="1"/>
    <x v="1"/>
    <x v="4"/>
  </r>
  <r>
    <x v="1"/>
    <x v="3"/>
    <x v="0"/>
    <x v="0"/>
  </r>
  <r>
    <x v="1"/>
    <x v="3"/>
    <x v="0"/>
    <x v="4"/>
  </r>
  <r>
    <x v="1"/>
    <x v="3"/>
    <x v="0"/>
    <x v="2"/>
  </r>
  <r>
    <x v="1"/>
    <x v="1"/>
    <x v="0"/>
    <x v="4"/>
  </r>
  <r>
    <x v="1"/>
    <x v="3"/>
    <x v="3"/>
    <x v="0"/>
  </r>
  <r>
    <x v="1"/>
    <x v="3"/>
    <x v="0"/>
    <x v="0"/>
  </r>
  <r>
    <x v="1"/>
    <x v="1"/>
    <x v="3"/>
    <x v="4"/>
  </r>
  <r>
    <x v="1"/>
    <x v="2"/>
    <x v="1"/>
    <x v="4"/>
  </r>
  <r>
    <x v="1"/>
    <x v="0"/>
    <x v="0"/>
    <x v="4"/>
  </r>
  <r>
    <x v="1"/>
    <x v="3"/>
    <x v="0"/>
    <x v="0"/>
  </r>
  <r>
    <x v="1"/>
    <x v="2"/>
    <x v="1"/>
    <x v="0"/>
  </r>
  <r>
    <x v="1"/>
    <x v="1"/>
    <x v="0"/>
    <x v="0"/>
  </r>
  <r>
    <x v="1"/>
    <x v="3"/>
    <x v="0"/>
    <x v="0"/>
  </r>
  <r>
    <x v="1"/>
    <x v="3"/>
    <x v="1"/>
    <x v="0"/>
  </r>
  <r>
    <x v="1"/>
    <x v="2"/>
    <x v="0"/>
    <x v="0"/>
  </r>
  <r>
    <x v="1"/>
    <x v="3"/>
    <x v="0"/>
    <x v="0"/>
  </r>
  <r>
    <x v="1"/>
    <x v="0"/>
    <x v="0"/>
    <x v="4"/>
  </r>
  <r>
    <x v="1"/>
    <x v="1"/>
    <x v="3"/>
    <x v="4"/>
  </r>
  <r>
    <x v="1"/>
    <x v="3"/>
    <x v="1"/>
    <x v="4"/>
  </r>
  <r>
    <x v="1"/>
    <x v="2"/>
    <x v="1"/>
    <x v="4"/>
  </r>
  <r>
    <x v="1"/>
    <x v="1"/>
    <x v="0"/>
    <x v="0"/>
  </r>
  <r>
    <x v="1"/>
    <x v="2"/>
    <x v="1"/>
    <x v="2"/>
  </r>
  <r>
    <x v="1"/>
    <x v="0"/>
    <x v="0"/>
    <x v="4"/>
  </r>
  <r>
    <x v="1"/>
    <x v="5"/>
    <x v="1"/>
    <x v="4"/>
  </r>
  <r>
    <x v="1"/>
    <x v="0"/>
    <x v="0"/>
    <x v="4"/>
  </r>
  <r>
    <x v="1"/>
    <x v="3"/>
    <x v="0"/>
    <x v="0"/>
  </r>
  <r>
    <x v="1"/>
    <x v="2"/>
    <x v="1"/>
    <x v="0"/>
  </r>
  <r>
    <x v="1"/>
    <x v="3"/>
    <x v="3"/>
    <x v="4"/>
  </r>
  <r>
    <x v="1"/>
    <x v="2"/>
    <x v="0"/>
    <x v="0"/>
  </r>
  <r>
    <x v="1"/>
    <x v="2"/>
    <x v="3"/>
    <x v="0"/>
  </r>
  <r>
    <x v="1"/>
    <x v="1"/>
    <x v="3"/>
    <x v="4"/>
  </r>
  <r>
    <x v="1"/>
    <x v="2"/>
    <x v="1"/>
    <x v="0"/>
  </r>
  <r>
    <x v="1"/>
    <x v="3"/>
    <x v="1"/>
    <x v="2"/>
  </r>
  <r>
    <x v="1"/>
    <x v="2"/>
    <x v="0"/>
    <x v="2"/>
  </r>
  <r>
    <x v="1"/>
    <x v="3"/>
    <x v="1"/>
    <x v="0"/>
  </r>
  <r>
    <x v="1"/>
    <x v="1"/>
    <x v="1"/>
    <x v="4"/>
  </r>
  <r>
    <x v="1"/>
    <x v="2"/>
    <x v="0"/>
    <x v="0"/>
  </r>
  <r>
    <x v="1"/>
    <x v="1"/>
    <x v="1"/>
    <x v="4"/>
  </r>
  <r>
    <x v="1"/>
    <x v="1"/>
    <x v="1"/>
    <x v="4"/>
  </r>
  <r>
    <x v="1"/>
    <x v="2"/>
    <x v="3"/>
    <x v="4"/>
  </r>
  <r>
    <x v="1"/>
    <x v="3"/>
    <x v="1"/>
    <x v="0"/>
  </r>
  <r>
    <x v="1"/>
    <x v="3"/>
    <x v="3"/>
    <x v="4"/>
  </r>
  <r>
    <x v="1"/>
    <x v="2"/>
    <x v="3"/>
    <x v="4"/>
  </r>
  <r>
    <x v="1"/>
    <x v="2"/>
    <x v="1"/>
    <x v="2"/>
  </r>
  <r>
    <x v="1"/>
    <x v="2"/>
    <x v="0"/>
    <x v="0"/>
  </r>
  <r>
    <x v="1"/>
    <x v="2"/>
    <x v="0"/>
    <x v="5"/>
  </r>
  <r>
    <x v="1"/>
    <x v="2"/>
    <x v="0"/>
    <x v="2"/>
  </r>
  <r>
    <x v="1"/>
    <x v="2"/>
    <x v="0"/>
    <x v="0"/>
  </r>
  <r>
    <x v="1"/>
    <x v="2"/>
    <x v="0"/>
    <x v="2"/>
  </r>
  <r>
    <x v="1"/>
    <x v="3"/>
    <x v="0"/>
    <x v="0"/>
  </r>
  <r>
    <x v="1"/>
    <x v="0"/>
    <x v="1"/>
    <x v="0"/>
  </r>
  <r>
    <x v="1"/>
    <x v="3"/>
    <x v="1"/>
    <x v="0"/>
  </r>
  <r>
    <x v="1"/>
    <x v="3"/>
    <x v="5"/>
    <x v="4"/>
  </r>
  <r>
    <x v="1"/>
    <x v="2"/>
    <x v="0"/>
    <x v="2"/>
  </r>
  <r>
    <x v="1"/>
    <x v="3"/>
    <x v="0"/>
    <x v="0"/>
  </r>
  <r>
    <x v="1"/>
    <x v="2"/>
    <x v="1"/>
    <x v="2"/>
  </r>
  <r>
    <x v="1"/>
    <x v="2"/>
    <x v="0"/>
    <x v="0"/>
  </r>
  <r>
    <x v="1"/>
    <x v="2"/>
    <x v="0"/>
    <x v="0"/>
  </r>
  <r>
    <x v="1"/>
    <x v="2"/>
    <x v="1"/>
    <x v="2"/>
  </r>
  <r>
    <x v="1"/>
    <x v="2"/>
    <x v="0"/>
    <x v="0"/>
  </r>
  <r>
    <x v="1"/>
    <x v="3"/>
    <x v="0"/>
    <x v="2"/>
  </r>
  <r>
    <x v="1"/>
    <x v="2"/>
    <x v="0"/>
    <x v="2"/>
  </r>
  <r>
    <x v="1"/>
    <x v="4"/>
    <x v="0"/>
    <x v="4"/>
  </r>
  <r>
    <x v="1"/>
    <x v="2"/>
    <x v="0"/>
    <x v="0"/>
  </r>
  <r>
    <x v="1"/>
    <x v="2"/>
    <x v="3"/>
    <x v="0"/>
  </r>
  <r>
    <x v="1"/>
    <x v="3"/>
    <x v="1"/>
    <x v="4"/>
  </r>
  <r>
    <x v="2"/>
    <x v="1"/>
    <x v="0"/>
    <x v="4"/>
  </r>
  <r>
    <x v="2"/>
    <x v="0"/>
    <x v="0"/>
    <x v="4"/>
  </r>
  <r>
    <x v="2"/>
    <x v="0"/>
    <x v="0"/>
    <x v="0"/>
  </r>
  <r>
    <x v="2"/>
    <x v="0"/>
    <x v="5"/>
    <x v="4"/>
  </r>
  <r>
    <x v="2"/>
    <x v="3"/>
    <x v="1"/>
    <x v="2"/>
  </r>
  <r>
    <x v="2"/>
    <x v="0"/>
    <x v="0"/>
    <x v="0"/>
  </r>
  <r>
    <x v="2"/>
    <x v="0"/>
    <x v="1"/>
    <x v="4"/>
  </r>
  <r>
    <x v="2"/>
    <x v="0"/>
    <x v="0"/>
    <x v="0"/>
  </r>
  <r>
    <x v="2"/>
    <x v="0"/>
    <x v="0"/>
    <x v="4"/>
  </r>
  <r>
    <x v="2"/>
    <x v="1"/>
    <x v="0"/>
    <x v="4"/>
  </r>
  <r>
    <x v="2"/>
    <x v="1"/>
    <x v="0"/>
    <x v="4"/>
  </r>
  <r>
    <x v="2"/>
    <x v="3"/>
    <x v="1"/>
    <x v="4"/>
  </r>
  <r>
    <x v="2"/>
    <x v="3"/>
    <x v="0"/>
    <x v="4"/>
  </r>
  <r>
    <x v="2"/>
    <x v="3"/>
    <x v="0"/>
    <x v="4"/>
  </r>
  <r>
    <x v="2"/>
    <x v="2"/>
    <x v="0"/>
    <x v="0"/>
  </r>
  <r>
    <x v="2"/>
    <x v="2"/>
    <x v="0"/>
    <x v="0"/>
  </r>
  <r>
    <x v="2"/>
    <x v="3"/>
    <x v="1"/>
    <x v="0"/>
  </r>
  <r>
    <x v="2"/>
    <x v="3"/>
    <x v="0"/>
    <x v="4"/>
  </r>
  <r>
    <x v="2"/>
    <x v="2"/>
    <x v="0"/>
    <x v="4"/>
  </r>
  <r>
    <x v="2"/>
    <x v="0"/>
    <x v="0"/>
    <x v="0"/>
  </r>
  <r>
    <x v="2"/>
    <x v="3"/>
    <x v="1"/>
    <x v="4"/>
  </r>
  <r>
    <x v="2"/>
    <x v="3"/>
    <x v="3"/>
    <x v="4"/>
  </r>
  <r>
    <x v="2"/>
    <x v="0"/>
    <x v="0"/>
    <x v="4"/>
  </r>
  <r>
    <x v="2"/>
    <x v="1"/>
    <x v="1"/>
    <x v="4"/>
  </r>
  <r>
    <x v="2"/>
    <x v="3"/>
    <x v="0"/>
    <x v="4"/>
  </r>
  <r>
    <x v="2"/>
    <x v="3"/>
    <x v="0"/>
    <x v="0"/>
  </r>
  <r>
    <x v="2"/>
    <x v="1"/>
    <x v="1"/>
    <x v="4"/>
  </r>
  <r>
    <x v="2"/>
    <x v="1"/>
    <x v="1"/>
    <x v="4"/>
  </r>
  <r>
    <x v="2"/>
    <x v="1"/>
    <x v="0"/>
    <x v="0"/>
  </r>
  <r>
    <x v="2"/>
    <x v="2"/>
    <x v="0"/>
    <x v="0"/>
  </r>
  <r>
    <x v="2"/>
    <x v="1"/>
    <x v="0"/>
    <x v="0"/>
  </r>
  <r>
    <x v="2"/>
    <x v="1"/>
    <x v="1"/>
    <x v="4"/>
  </r>
  <r>
    <x v="2"/>
    <x v="2"/>
    <x v="0"/>
    <x v="0"/>
  </r>
  <r>
    <x v="2"/>
    <x v="3"/>
    <x v="0"/>
    <x v="0"/>
  </r>
  <r>
    <x v="2"/>
    <x v="3"/>
    <x v="0"/>
    <x v="4"/>
  </r>
  <r>
    <x v="2"/>
    <x v="2"/>
    <x v="0"/>
    <x v="0"/>
  </r>
  <r>
    <x v="2"/>
    <x v="3"/>
    <x v="0"/>
    <x v="0"/>
  </r>
  <r>
    <x v="2"/>
    <x v="3"/>
    <x v="1"/>
    <x v="4"/>
  </r>
  <r>
    <x v="2"/>
    <x v="0"/>
    <x v="0"/>
    <x v="4"/>
  </r>
  <r>
    <x v="2"/>
    <x v="2"/>
    <x v="0"/>
    <x v="0"/>
  </r>
  <r>
    <x v="2"/>
    <x v="3"/>
    <x v="0"/>
    <x v="0"/>
  </r>
  <r>
    <x v="2"/>
    <x v="1"/>
    <x v="1"/>
    <x v="4"/>
  </r>
  <r>
    <x v="2"/>
    <x v="3"/>
    <x v="0"/>
    <x v="4"/>
  </r>
  <r>
    <x v="2"/>
    <x v="2"/>
    <x v="1"/>
    <x v="4"/>
  </r>
  <r>
    <x v="2"/>
    <x v="1"/>
    <x v="0"/>
    <x v="0"/>
  </r>
  <r>
    <x v="2"/>
    <x v="3"/>
    <x v="0"/>
    <x v="0"/>
  </r>
  <r>
    <x v="2"/>
    <x v="2"/>
    <x v="0"/>
    <x v="0"/>
  </r>
  <r>
    <x v="2"/>
    <x v="1"/>
    <x v="1"/>
    <x v="4"/>
  </r>
  <r>
    <x v="2"/>
    <x v="3"/>
    <x v="1"/>
    <x v="4"/>
  </r>
  <r>
    <x v="2"/>
    <x v="2"/>
    <x v="3"/>
    <x v="4"/>
  </r>
  <r>
    <x v="2"/>
    <x v="3"/>
    <x v="3"/>
    <x v="4"/>
  </r>
  <r>
    <x v="2"/>
    <x v="0"/>
    <x v="0"/>
    <x v="4"/>
  </r>
  <r>
    <x v="2"/>
    <x v="2"/>
    <x v="1"/>
    <x v="0"/>
  </r>
  <r>
    <x v="2"/>
    <x v="3"/>
    <x v="1"/>
    <x v="0"/>
  </r>
  <r>
    <x v="2"/>
    <x v="1"/>
    <x v="0"/>
    <x v="0"/>
  </r>
  <r>
    <x v="2"/>
    <x v="1"/>
    <x v="0"/>
    <x v="2"/>
  </r>
  <r>
    <x v="2"/>
    <x v="3"/>
    <x v="1"/>
    <x v="0"/>
  </r>
  <r>
    <x v="2"/>
    <x v="3"/>
    <x v="1"/>
    <x v="4"/>
  </r>
  <r>
    <x v="2"/>
    <x v="1"/>
    <x v="0"/>
    <x v="0"/>
  </r>
  <r>
    <x v="2"/>
    <x v="1"/>
    <x v="0"/>
    <x v="4"/>
  </r>
  <r>
    <x v="2"/>
    <x v="3"/>
    <x v="1"/>
    <x v="0"/>
  </r>
  <r>
    <x v="2"/>
    <x v="1"/>
    <x v="1"/>
    <x v="4"/>
  </r>
  <r>
    <x v="2"/>
    <x v="2"/>
    <x v="0"/>
    <x v="2"/>
  </r>
  <r>
    <x v="2"/>
    <x v="2"/>
    <x v="1"/>
    <x v="0"/>
  </r>
  <r>
    <x v="2"/>
    <x v="2"/>
    <x v="0"/>
    <x v="0"/>
  </r>
  <r>
    <x v="2"/>
    <x v="3"/>
    <x v="0"/>
    <x v="2"/>
  </r>
  <r>
    <x v="2"/>
    <x v="1"/>
    <x v="1"/>
    <x v="4"/>
  </r>
  <r>
    <x v="2"/>
    <x v="3"/>
    <x v="0"/>
    <x v="0"/>
  </r>
  <r>
    <x v="2"/>
    <x v="2"/>
    <x v="0"/>
    <x v="2"/>
  </r>
  <r>
    <x v="2"/>
    <x v="2"/>
    <x v="0"/>
    <x v="0"/>
  </r>
  <r>
    <x v="2"/>
    <x v="1"/>
    <x v="0"/>
    <x v="4"/>
  </r>
  <r>
    <x v="2"/>
    <x v="2"/>
    <x v="0"/>
    <x v="4"/>
  </r>
  <r>
    <x v="2"/>
    <x v="2"/>
    <x v="0"/>
    <x v="4"/>
  </r>
  <r>
    <x v="2"/>
    <x v="0"/>
    <x v="0"/>
    <x v="0"/>
  </r>
  <r>
    <x v="2"/>
    <x v="2"/>
    <x v="0"/>
    <x v="0"/>
  </r>
  <r>
    <x v="2"/>
    <x v="2"/>
    <x v="0"/>
    <x v="0"/>
  </r>
  <r>
    <x v="2"/>
    <x v="3"/>
    <x v="0"/>
    <x v="4"/>
  </r>
  <r>
    <x v="2"/>
    <x v="2"/>
    <x v="1"/>
    <x v="4"/>
  </r>
  <r>
    <x v="3"/>
    <x v="1"/>
    <x v="0"/>
    <x v="4"/>
  </r>
  <r>
    <x v="3"/>
    <x v="3"/>
    <x v="0"/>
    <x v="0"/>
  </r>
  <r>
    <x v="3"/>
    <x v="3"/>
    <x v="0"/>
    <x v="0"/>
  </r>
  <r>
    <x v="3"/>
    <x v="0"/>
    <x v="1"/>
    <x v="4"/>
  </r>
  <r>
    <x v="3"/>
    <x v="1"/>
    <x v="0"/>
    <x v="4"/>
  </r>
  <r>
    <x v="3"/>
    <x v="1"/>
    <x v="0"/>
    <x v="4"/>
  </r>
  <r>
    <x v="3"/>
    <x v="3"/>
    <x v="0"/>
    <x v="4"/>
  </r>
  <r>
    <x v="3"/>
    <x v="1"/>
    <x v="0"/>
    <x v="0"/>
  </r>
  <r>
    <x v="3"/>
    <x v="2"/>
    <x v="1"/>
    <x v="0"/>
  </r>
  <r>
    <x v="3"/>
    <x v="3"/>
    <x v="0"/>
    <x v="0"/>
  </r>
  <r>
    <x v="3"/>
    <x v="3"/>
    <x v="0"/>
    <x v="0"/>
  </r>
  <r>
    <x v="3"/>
    <x v="2"/>
    <x v="1"/>
    <x v="0"/>
  </r>
  <r>
    <x v="3"/>
    <x v="1"/>
    <x v="0"/>
    <x v="4"/>
  </r>
  <r>
    <x v="3"/>
    <x v="0"/>
    <x v="1"/>
    <x v="0"/>
  </r>
  <r>
    <x v="3"/>
    <x v="0"/>
    <x v="1"/>
    <x v="4"/>
  </r>
  <r>
    <x v="3"/>
    <x v="2"/>
    <x v="1"/>
    <x v="0"/>
  </r>
  <r>
    <x v="3"/>
    <x v="3"/>
    <x v="5"/>
    <x v="4"/>
  </r>
  <r>
    <x v="3"/>
    <x v="1"/>
    <x v="1"/>
    <x v="4"/>
  </r>
  <r>
    <x v="3"/>
    <x v="3"/>
    <x v="1"/>
    <x v="4"/>
  </r>
  <r>
    <x v="3"/>
    <x v="2"/>
    <x v="1"/>
    <x v="0"/>
  </r>
  <r>
    <x v="3"/>
    <x v="2"/>
    <x v="0"/>
    <x v="4"/>
  </r>
  <r>
    <x v="3"/>
    <x v="3"/>
    <x v="1"/>
    <x v="4"/>
  </r>
  <r>
    <x v="3"/>
    <x v="3"/>
    <x v="3"/>
    <x v="4"/>
  </r>
  <r>
    <x v="3"/>
    <x v="3"/>
    <x v="0"/>
    <x v="0"/>
  </r>
  <r>
    <x v="3"/>
    <x v="1"/>
    <x v="1"/>
    <x v="4"/>
  </r>
  <r>
    <x v="3"/>
    <x v="3"/>
    <x v="0"/>
    <x v="0"/>
  </r>
  <r>
    <x v="3"/>
    <x v="2"/>
    <x v="0"/>
    <x v="0"/>
  </r>
  <r>
    <x v="3"/>
    <x v="2"/>
    <x v="0"/>
    <x v="0"/>
  </r>
  <r>
    <x v="3"/>
    <x v="2"/>
    <x v="0"/>
    <x v="0"/>
  </r>
  <r>
    <x v="3"/>
    <x v="2"/>
    <x v="0"/>
    <x v="4"/>
  </r>
  <r>
    <x v="3"/>
    <x v="3"/>
    <x v="1"/>
    <x v="4"/>
  </r>
  <r>
    <x v="3"/>
    <x v="2"/>
    <x v="3"/>
    <x v="4"/>
  </r>
  <r>
    <x v="3"/>
    <x v="1"/>
    <x v="1"/>
    <x v="4"/>
  </r>
  <r>
    <x v="3"/>
    <x v="1"/>
    <x v="1"/>
    <x v="4"/>
  </r>
  <r>
    <x v="3"/>
    <x v="3"/>
    <x v="0"/>
    <x v="2"/>
  </r>
  <r>
    <x v="3"/>
    <x v="2"/>
    <x v="0"/>
    <x v="0"/>
  </r>
  <r>
    <x v="3"/>
    <x v="3"/>
    <x v="0"/>
    <x v="4"/>
  </r>
  <r>
    <x v="3"/>
    <x v="2"/>
    <x v="1"/>
    <x v="0"/>
  </r>
  <r>
    <x v="3"/>
    <x v="2"/>
    <x v="2"/>
    <x v="0"/>
  </r>
  <r>
    <x v="3"/>
    <x v="2"/>
    <x v="0"/>
    <x v="2"/>
  </r>
  <r>
    <x v="4"/>
    <x v="0"/>
    <x v="0"/>
    <x v="4"/>
  </r>
  <r>
    <x v="4"/>
    <x v="2"/>
    <x v="0"/>
    <x v="0"/>
  </r>
  <r>
    <x v="4"/>
    <x v="3"/>
    <x v="1"/>
    <x v="4"/>
  </r>
  <r>
    <x v="4"/>
    <x v="2"/>
    <x v="1"/>
    <x v="0"/>
  </r>
  <r>
    <x v="4"/>
    <x v="2"/>
    <x v="3"/>
    <x v="4"/>
  </r>
  <r>
    <x v="4"/>
    <x v="1"/>
    <x v="1"/>
    <x v="4"/>
  </r>
  <r>
    <x v="4"/>
    <x v="3"/>
    <x v="1"/>
    <x v="4"/>
  </r>
  <r>
    <x v="4"/>
    <x v="1"/>
    <x v="0"/>
    <x v="0"/>
  </r>
  <r>
    <x v="4"/>
    <x v="1"/>
    <x v="0"/>
    <x v="4"/>
  </r>
  <r>
    <x v="4"/>
    <x v="1"/>
    <x v="0"/>
    <x v="4"/>
  </r>
  <r>
    <x v="4"/>
    <x v="2"/>
    <x v="1"/>
    <x v="4"/>
  </r>
  <r>
    <x v="4"/>
    <x v="1"/>
    <x v="0"/>
    <x v="4"/>
  </r>
  <r>
    <x v="4"/>
    <x v="2"/>
    <x v="0"/>
    <x v="4"/>
  </r>
  <r>
    <x v="4"/>
    <x v="2"/>
    <x v="1"/>
    <x v="0"/>
  </r>
  <r>
    <x v="4"/>
    <x v="3"/>
    <x v="3"/>
    <x v="4"/>
  </r>
  <r>
    <x v="4"/>
    <x v="2"/>
    <x v="0"/>
    <x v="0"/>
  </r>
  <r>
    <x v="5"/>
    <x v="3"/>
    <x v="0"/>
    <x v="4"/>
  </r>
  <r>
    <x v="5"/>
    <x v="3"/>
    <x v="0"/>
    <x v="4"/>
  </r>
  <r>
    <x v="5"/>
    <x v="3"/>
    <x v="0"/>
    <x v="0"/>
  </r>
  <r>
    <x v="5"/>
    <x v="2"/>
    <x v="1"/>
    <x v="4"/>
  </r>
  <r>
    <x v="5"/>
    <x v="1"/>
    <x v="0"/>
    <x v="4"/>
  </r>
  <r>
    <x v="5"/>
    <x v="2"/>
    <x v="1"/>
    <x v="4"/>
  </r>
  <r>
    <x v="5"/>
    <x v="3"/>
    <x v="0"/>
    <x v="0"/>
  </r>
  <r>
    <x v="5"/>
    <x v="2"/>
    <x v="0"/>
    <x v="0"/>
  </r>
  <r>
    <x v="5"/>
    <x v="3"/>
    <x v="0"/>
    <x v="4"/>
  </r>
  <r>
    <x v="5"/>
    <x v="1"/>
    <x v="0"/>
    <x v="4"/>
  </r>
  <r>
    <x v="5"/>
    <x v="3"/>
    <x v="1"/>
    <x v="4"/>
  </r>
  <r>
    <x v="5"/>
    <x v="3"/>
    <x v="0"/>
    <x v="4"/>
  </r>
  <r>
    <x v="5"/>
    <x v="3"/>
    <x v="0"/>
    <x v="0"/>
  </r>
  <r>
    <x v="5"/>
    <x v="2"/>
    <x v="0"/>
    <x v="0"/>
  </r>
  <r>
    <x v="5"/>
    <x v="2"/>
    <x v="0"/>
    <x v="4"/>
  </r>
  <r>
    <x v="6"/>
    <x v="3"/>
    <x v="0"/>
    <x v="4"/>
  </r>
  <r>
    <x v="6"/>
    <x v="2"/>
    <x v="1"/>
    <x v="0"/>
  </r>
  <r>
    <x v="7"/>
    <x v="2"/>
    <x v="0"/>
    <x v="4"/>
  </r>
  <r>
    <x v="8"/>
    <x v="2"/>
    <x v="0"/>
    <x v="4"/>
  </r>
  <r>
    <x v="9"/>
    <x v="6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11" firstHeaderRow="1" firstDataRow="1" firstDataCol="1"/>
  <pivotFields count="4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8">
        <item x="2"/>
        <item x="3"/>
        <item x="1"/>
        <item x="0"/>
        <item x="4"/>
        <item x="5"/>
        <item x="6"/>
        <item t="default"/>
      </items>
    </pivotField>
    <pivotField showAll="0">
      <items count="8">
        <item x="0"/>
        <item x="1"/>
        <item x="3"/>
        <item x="5"/>
        <item x="4"/>
        <item x="2"/>
        <item x="6"/>
        <item t="default"/>
      </items>
    </pivotField>
    <pivotField axis="axisRow" dataField="1" showAll="0">
      <items count="8">
        <item x="4"/>
        <item x="0"/>
        <item x="2"/>
        <item x="5"/>
        <item x="1"/>
        <item x="3"/>
        <item x="6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计数项:100y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6"/>
  <sheetViews>
    <sheetView workbookViewId="0">
      <selection activeCell="B23" sqref="B23"/>
    </sheetView>
  </sheetViews>
  <sheetFormatPr defaultRowHeight="14" x14ac:dyDescent="0.25"/>
  <cols>
    <col min="1" max="1" width="20.26953125" customWidth="1"/>
    <col min="2" max="2" width="22.1796875" customWidth="1"/>
    <col min="3" max="6" width="20.7265625" customWidth="1"/>
  </cols>
  <sheetData>
    <row r="1" spans="1:6" x14ac:dyDescent="0.25">
      <c r="A1" t="s">
        <v>336</v>
      </c>
      <c r="B1" t="s">
        <v>0</v>
      </c>
      <c r="C1" t="s">
        <v>337</v>
      </c>
      <c r="D1" t="s">
        <v>338</v>
      </c>
      <c r="E1" t="s">
        <v>339</v>
      </c>
      <c r="F1" t="s">
        <v>340</v>
      </c>
    </row>
    <row r="2" spans="1:6" x14ac:dyDescent="0.25">
      <c r="A2" t="str">
        <f>VLOOKUP(B2,[1]Sheet2!$A:$B,2,0)</f>
        <v>BRA</v>
      </c>
      <c r="B2" t="s">
        <v>256</v>
      </c>
      <c r="C2">
        <v>0</v>
      </c>
      <c r="D2">
        <v>3</v>
      </c>
      <c r="E2">
        <v>0</v>
      </c>
      <c r="F2">
        <v>1</v>
      </c>
    </row>
    <row r="3" spans="1:6" x14ac:dyDescent="0.25">
      <c r="A3" t="str">
        <f>VLOOKUP(B3,[1]Sheet2!$A:$B,2,0)</f>
        <v>COL</v>
      </c>
      <c r="B3" t="s">
        <v>195</v>
      </c>
      <c r="C3">
        <v>0</v>
      </c>
      <c r="D3">
        <v>2</v>
      </c>
      <c r="E3">
        <v>0</v>
      </c>
      <c r="F3">
        <v>4</v>
      </c>
    </row>
    <row r="4" spans="1:6" x14ac:dyDescent="0.25">
      <c r="A4" t="str">
        <f>VLOOKUP(B4,[1]Sheet2!$A:$B,2,0)</f>
        <v>FRA</v>
      </c>
      <c r="B4" t="s">
        <v>193</v>
      </c>
      <c r="C4">
        <v>0</v>
      </c>
      <c r="D4">
        <v>2</v>
      </c>
      <c r="E4">
        <v>0</v>
      </c>
      <c r="F4">
        <v>2</v>
      </c>
    </row>
    <row r="5" spans="1:6" x14ac:dyDescent="0.25">
      <c r="A5" t="str">
        <f>VLOOKUP(B5,[1]Sheet2!$A:$B,2,0)</f>
        <v>PER</v>
      </c>
      <c r="B5" t="s">
        <v>172</v>
      </c>
      <c r="C5">
        <v>0</v>
      </c>
      <c r="D5">
        <v>0</v>
      </c>
      <c r="E5">
        <v>0</v>
      </c>
      <c r="F5">
        <v>5</v>
      </c>
    </row>
    <row r="6" spans="1:6" x14ac:dyDescent="0.25">
      <c r="A6" t="str">
        <f>VLOOKUP(B6,[1]Sheet2!$A:$B,2,0)</f>
        <v>DEU</v>
      </c>
      <c r="B6" t="s">
        <v>90</v>
      </c>
      <c r="C6">
        <v>0</v>
      </c>
      <c r="D6">
        <v>1</v>
      </c>
      <c r="E6">
        <v>0</v>
      </c>
      <c r="F6">
        <v>1</v>
      </c>
    </row>
    <row r="7" spans="1:6" x14ac:dyDescent="0.25">
      <c r="A7" t="str">
        <f>VLOOKUP(B7,[1]Sheet2!$A:$B,2,0)</f>
        <v>FRA</v>
      </c>
      <c r="B7" t="s">
        <v>171</v>
      </c>
      <c r="C7">
        <v>0</v>
      </c>
      <c r="D7">
        <v>1</v>
      </c>
      <c r="E7">
        <v>1</v>
      </c>
      <c r="F7">
        <v>2</v>
      </c>
    </row>
    <row r="8" spans="1:6" x14ac:dyDescent="0.25">
      <c r="A8" t="str">
        <f>VLOOKUP(B8,[1]Sheet2!$A:$B,2,0)</f>
        <v>USA</v>
      </c>
      <c r="B8" t="s">
        <v>27</v>
      </c>
      <c r="C8">
        <v>0</v>
      </c>
      <c r="D8">
        <v>1</v>
      </c>
      <c r="E8">
        <v>1</v>
      </c>
      <c r="F8">
        <v>0</v>
      </c>
    </row>
    <row r="9" spans="1:6" x14ac:dyDescent="0.25">
      <c r="A9" t="str">
        <f>VLOOKUP(B9,[1]Sheet2!$A:$B,2,0)</f>
        <v>FRA</v>
      </c>
      <c r="B9" t="s">
        <v>46</v>
      </c>
      <c r="C9">
        <v>0</v>
      </c>
      <c r="D9">
        <v>3</v>
      </c>
      <c r="E9">
        <v>0</v>
      </c>
      <c r="F9">
        <v>2</v>
      </c>
    </row>
    <row r="10" spans="1:6" x14ac:dyDescent="0.25">
      <c r="A10" t="str">
        <f>VLOOKUP(B10,[1]Sheet2!$A:$B,2,0)</f>
        <v>AUS</v>
      </c>
      <c r="B10" t="s">
        <v>49</v>
      </c>
      <c r="C10">
        <v>0</v>
      </c>
      <c r="D10">
        <v>1</v>
      </c>
      <c r="E10">
        <v>0</v>
      </c>
      <c r="F10">
        <v>1</v>
      </c>
    </row>
    <row r="11" spans="1:6" x14ac:dyDescent="0.25">
      <c r="A11" t="str">
        <f>VLOOKUP(B11,[1]Sheet2!$A:$B,2,0)</f>
        <v>DEU</v>
      </c>
      <c r="B11" t="s">
        <v>93</v>
      </c>
      <c r="C11">
        <v>0</v>
      </c>
      <c r="D11">
        <v>1</v>
      </c>
      <c r="E11">
        <v>0</v>
      </c>
      <c r="F11">
        <v>0</v>
      </c>
    </row>
    <row r="12" spans="1:6" x14ac:dyDescent="0.25">
      <c r="A12" t="str">
        <f>VLOOKUP(B12,[1]Sheet2!$A:$B,2,0)</f>
        <v>SWE</v>
      </c>
      <c r="B12" t="s">
        <v>108</v>
      </c>
      <c r="C12">
        <v>0</v>
      </c>
      <c r="D12">
        <v>1</v>
      </c>
      <c r="E12">
        <v>1</v>
      </c>
      <c r="F12">
        <v>1</v>
      </c>
    </row>
    <row r="13" spans="1:6" x14ac:dyDescent="0.25">
      <c r="A13" t="str">
        <f>VLOOKUP(B13,[1]Sheet2!$A:$B,2,0)</f>
        <v>ECU</v>
      </c>
      <c r="B13" t="s">
        <v>115</v>
      </c>
      <c r="C13">
        <v>0</v>
      </c>
      <c r="D13">
        <v>4</v>
      </c>
      <c r="E13">
        <v>0</v>
      </c>
      <c r="F13">
        <v>1</v>
      </c>
    </row>
    <row r="14" spans="1:6" x14ac:dyDescent="0.25">
      <c r="A14" t="str">
        <f>VLOOKUP(B14,[1]Sheet2!$A:$B,2,0)</f>
        <v>PRT</v>
      </c>
      <c r="B14" t="s">
        <v>174</v>
      </c>
      <c r="C14">
        <v>0</v>
      </c>
      <c r="D14">
        <v>1</v>
      </c>
      <c r="E14">
        <v>0</v>
      </c>
      <c r="F14">
        <v>2</v>
      </c>
    </row>
    <row r="15" spans="1:6" x14ac:dyDescent="0.25">
      <c r="A15" t="str">
        <f>VLOOKUP(B15,[1]Sheet2!$A:$B,2,0)</f>
        <v>NIC</v>
      </c>
      <c r="B15" t="s">
        <v>186</v>
      </c>
      <c r="C15">
        <v>0</v>
      </c>
      <c r="D15">
        <v>1</v>
      </c>
      <c r="E15">
        <v>0</v>
      </c>
      <c r="F15">
        <v>0</v>
      </c>
    </row>
    <row r="16" spans="1:6" x14ac:dyDescent="0.25">
      <c r="A16" t="str">
        <f>VLOOKUP(B16,[1]Sheet2!$A:$B,2,0)</f>
        <v>BRA</v>
      </c>
      <c r="B16" t="s">
        <v>246</v>
      </c>
      <c r="C16">
        <v>0</v>
      </c>
      <c r="D16">
        <v>2</v>
      </c>
      <c r="E16">
        <v>1</v>
      </c>
      <c r="F16">
        <v>1</v>
      </c>
    </row>
    <row r="17" spans="1:6" x14ac:dyDescent="0.25">
      <c r="A17" t="str">
        <f>VLOOKUP(B17,[1]Sheet2!$A:$B,2,0)</f>
        <v>NLD</v>
      </c>
      <c r="B17" t="s">
        <v>252</v>
      </c>
      <c r="C17">
        <v>0</v>
      </c>
      <c r="D17">
        <v>2</v>
      </c>
      <c r="E17">
        <v>5</v>
      </c>
      <c r="F17">
        <v>0</v>
      </c>
    </row>
    <row r="18" spans="1:6" x14ac:dyDescent="0.25">
      <c r="A18" t="str">
        <f>VLOOKUP(B18,[1]Sheet2!$A:$B,2,0)</f>
        <v>MEX</v>
      </c>
      <c r="B18" t="s">
        <v>261</v>
      </c>
      <c r="C18">
        <v>0</v>
      </c>
      <c r="D18">
        <v>1</v>
      </c>
      <c r="E18">
        <v>1</v>
      </c>
      <c r="F18">
        <v>2</v>
      </c>
    </row>
    <row r="19" spans="1:6" x14ac:dyDescent="0.25">
      <c r="A19" t="str">
        <f>VLOOKUP(B19,[1]Sheet2!$A:$B,2,0)</f>
        <v>CHN</v>
      </c>
      <c r="B19" t="s">
        <v>278</v>
      </c>
      <c r="C19">
        <v>0</v>
      </c>
      <c r="D19">
        <v>2</v>
      </c>
      <c r="E19">
        <v>1</v>
      </c>
      <c r="F19">
        <v>1</v>
      </c>
    </row>
    <row r="20" spans="1:6" x14ac:dyDescent="0.25">
      <c r="A20" t="str">
        <f>VLOOKUP(B20,[1]Sheet2!$A:$B,2,0)</f>
        <v>ALB</v>
      </c>
      <c r="B20" t="s">
        <v>297</v>
      </c>
      <c r="C20">
        <v>0</v>
      </c>
      <c r="D20">
        <v>1</v>
      </c>
      <c r="E20">
        <v>0</v>
      </c>
      <c r="F20">
        <v>0</v>
      </c>
    </row>
    <row r="21" spans="1:6" x14ac:dyDescent="0.25">
      <c r="A21" t="str">
        <f>VLOOKUP(B21,[1]Sheet2!$A:$B,2,0)</f>
        <v>MNG</v>
      </c>
      <c r="B21" t="s">
        <v>305</v>
      </c>
      <c r="C21">
        <v>0</v>
      </c>
      <c r="D21">
        <v>1</v>
      </c>
      <c r="E21">
        <v>1</v>
      </c>
      <c r="F21">
        <v>1</v>
      </c>
    </row>
    <row r="22" spans="1:6" x14ac:dyDescent="0.25">
      <c r="A22" t="str">
        <f>VLOOKUP(B22,[1]Sheet2!$A:$B,2,0)</f>
        <v>DEU</v>
      </c>
      <c r="B22" t="s">
        <v>39</v>
      </c>
      <c r="C22">
        <v>0</v>
      </c>
      <c r="D22">
        <v>0</v>
      </c>
      <c r="E22">
        <v>0</v>
      </c>
      <c r="F22">
        <v>3</v>
      </c>
    </row>
    <row r="23" spans="1:6" x14ac:dyDescent="0.25">
      <c r="A23" t="str">
        <f>VLOOKUP(B23,[1]Sheet2!$A:$B,2,0)</f>
        <v>CHE</v>
      </c>
      <c r="B23" t="s">
        <v>33</v>
      </c>
      <c r="C23">
        <v>0</v>
      </c>
      <c r="D23">
        <v>1</v>
      </c>
      <c r="E23">
        <v>0</v>
      </c>
      <c r="F23">
        <v>3</v>
      </c>
    </row>
    <row r="24" spans="1:6" x14ac:dyDescent="0.25">
      <c r="A24" t="str">
        <f>VLOOKUP(B24,[1]Sheet2!$A:$B,2,0)</f>
        <v>NGA</v>
      </c>
      <c r="B24" t="s">
        <v>5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t="str">
        <f>VLOOKUP(B25,[1]Sheet2!$A:$B,2,0)</f>
        <v>ARE</v>
      </c>
      <c r="B25" t="s">
        <v>91</v>
      </c>
      <c r="C25">
        <v>0</v>
      </c>
      <c r="D25">
        <v>1</v>
      </c>
      <c r="E25">
        <v>0</v>
      </c>
      <c r="F25">
        <v>2</v>
      </c>
    </row>
    <row r="26" spans="1:6" x14ac:dyDescent="0.25">
      <c r="A26" t="str">
        <f>VLOOKUP(B26,[1]Sheet2!$A:$B,2,0)</f>
        <v>GBR</v>
      </c>
      <c r="B26" t="s">
        <v>110</v>
      </c>
      <c r="C26">
        <v>0</v>
      </c>
      <c r="D26">
        <v>1</v>
      </c>
      <c r="E26">
        <v>0</v>
      </c>
      <c r="F26">
        <v>3</v>
      </c>
    </row>
    <row r="27" spans="1:6" x14ac:dyDescent="0.25">
      <c r="A27" t="str">
        <f>VLOOKUP(B27,[1]Sheet2!$A:$B,2,0)</f>
        <v>MEX</v>
      </c>
      <c r="B27" t="s">
        <v>147</v>
      </c>
      <c r="C27">
        <v>0</v>
      </c>
      <c r="D27">
        <v>1</v>
      </c>
      <c r="E27">
        <v>2</v>
      </c>
      <c r="F27">
        <v>1</v>
      </c>
    </row>
    <row r="28" spans="1:6" x14ac:dyDescent="0.25">
      <c r="A28" t="str">
        <f>VLOOKUP(B28,[1]Sheet2!$A:$B,2,0)</f>
        <v>DEU</v>
      </c>
      <c r="B28" t="s">
        <v>168</v>
      </c>
      <c r="C28">
        <v>0</v>
      </c>
      <c r="D28">
        <v>1</v>
      </c>
      <c r="E28">
        <v>0</v>
      </c>
      <c r="F28">
        <v>1</v>
      </c>
    </row>
    <row r="29" spans="1:6" x14ac:dyDescent="0.25">
      <c r="A29" t="str">
        <f>VLOOKUP(B29,[1]Sheet2!$A:$B,2,0)</f>
        <v>FRA</v>
      </c>
      <c r="B29" t="s">
        <v>182</v>
      </c>
      <c r="C29">
        <v>0</v>
      </c>
      <c r="D29">
        <v>1</v>
      </c>
      <c r="E29">
        <v>0</v>
      </c>
      <c r="F29">
        <v>2</v>
      </c>
    </row>
    <row r="30" spans="1:6" x14ac:dyDescent="0.25">
      <c r="A30" t="str">
        <f>VLOOKUP(B30,[1]Sheet2!$A:$B,2,0)</f>
        <v>DEU</v>
      </c>
      <c r="B30" t="s">
        <v>203</v>
      </c>
      <c r="C30">
        <v>0</v>
      </c>
      <c r="D30">
        <v>0</v>
      </c>
      <c r="E30">
        <v>0</v>
      </c>
      <c r="F30">
        <v>1</v>
      </c>
    </row>
    <row r="31" spans="1:6" x14ac:dyDescent="0.25">
      <c r="A31" t="str">
        <f>VLOOKUP(B31,[1]Sheet2!$A:$B,2,0)</f>
        <v>CYP</v>
      </c>
      <c r="B31" t="s">
        <v>217</v>
      </c>
      <c r="C31">
        <v>0</v>
      </c>
      <c r="D31">
        <v>0</v>
      </c>
      <c r="E31">
        <v>1</v>
      </c>
      <c r="F31">
        <v>1</v>
      </c>
    </row>
    <row r="32" spans="1:6" x14ac:dyDescent="0.25">
      <c r="A32" t="str">
        <f>VLOOKUP(B32,[1]Sheet2!$A:$B,2,0)</f>
        <v>IDN</v>
      </c>
      <c r="B32" t="s">
        <v>285</v>
      </c>
      <c r="C32">
        <v>0</v>
      </c>
      <c r="D32">
        <v>1</v>
      </c>
      <c r="E32">
        <v>1</v>
      </c>
      <c r="F32">
        <v>1</v>
      </c>
    </row>
    <row r="33" spans="1:6" x14ac:dyDescent="0.25">
      <c r="A33" t="str">
        <f>VLOOKUP(B33,[1]Sheet2!$A:$B,2,0)</f>
        <v>CHN</v>
      </c>
      <c r="B33" t="s">
        <v>286</v>
      </c>
      <c r="C33">
        <v>0</v>
      </c>
      <c r="D33">
        <v>0</v>
      </c>
      <c r="E33">
        <v>0</v>
      </c>
      <c r="F33">
        <v>1</v>
      </c>
    </row>
    <row r="34" spans="1:6" x14ac:dyDescent="0.25">
      <c r="A34" t="str">
        <f>VLOOKUP(B34,[1]Sheet2!$A:$B,2,0)</f>
        <v>CIV</v>
      </c>
      <c r="B34" t="s">
        <v>3</v>
      </c>
      <c r="C34">
        <v>0</v>
      </c>
      <c r="D34">
        <v>1</v>
      </c>
      <c r="E34">
        <v>0</v>
      </c>
      <c r="F34">
        <v>2</v>
      </c>
    </row>
    <row r="35" spans="1:6" x14ac:dyDescent="0.25">
      <c r="A35" t="str">
        <f>VLOOKUP(B35,[1]Sheet2!$A:$B,2,0)</f>
        <v>KAZ</v>
      </c>
      <c r="B35" t="s">
        <v>15</v>
      </c>
      <c r="C35">
        <v>0</v>
      </c>
      <c r="D35">
        <v>2</v>
      </c>
      <c r="E35">
        <v>0</v>
      </c>
      <c r="F35">
        <v>0</v>
      </c>
    </row>
    <row r="36" spans="1:6" x14ac:dyDescent="0.25">
      <c r="A36" t="str">
        <f>VLOOKUP(B36,[1]Sheet2!$A:$B,2,0)</f>
        <v>IND</v>
      </c>
      <c r="B36" t="s">
        <v>28</v>
      </c>
      <c r="C36">
        <v>0</v>
      </c>
      <c r="D36">
        <v>3</v>
      </c>
      <c r="E36">
        <v>1</v>
      </c>
      <c r="F36">
        <v>0</v>
      </c>
    </row>
    <row r="37" spans="1:6" x14ac:dyDescent="0.25">
      <c r="A37" t="str">
        <f>VLOOKUP(B37,[1]Sheet2!$A:$B,2,0)</f>
        <v>GBR</v>
      </c>
      <c r="B37" t="s">
        <v>36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tr">
        <f>VLOOKUP(B38,[1]Sheet2!$A:$B,2,0)</f>
        <v>HUN</v>
      </c>
      <c r="B38" t="s">
        <v>53</v>
      </c>
      <c r="C38">
        <v>0</v>
      </c>
      <c r="D38">
        <v>0</v>
      </c>
      <c r="E38">
        <v>0</v>
      </c>
      <c r="F38">
        <v>2</v>
      </c>
    </row>
    <row r="39" spans="1:6" x14ac:dyDescent="0.25">
      <c r="A39" t="str">
        <f>VLOOKUP(B39,[1]Sheet2!$A:$B,2,0)</f>
        <v>ZAF</v>
      </c>
      <c r="B39" t="s">
        <v>68</v>
      </c>
      <c r="C39">
        <v>0</v>
      </c>
      <c r="D39">
        <v>0</v>
      </c>
      <c r="E39">
        <v>1</v>
      </c>
      <c r="F39">
        <v>1</v>
      </c>
    </row>
    <row r="40" spans="1:6" x14ac:dyDescent="0.25">
      <c r="A40" t="str">
        <f>VLOOKUP(B40,[1]Sheet2!$A:$B,2,0)</f>
        <v>ARM</v>
      </c>
      <c r="B40" t="s">
        <v>96</v>
      </c>
      <c r="C40">
        <v>0</v>
      </c>
      <c r="D40">
        <v>2</v>
      </c>
      <c r="E40">
        <v>0</v>
      </c>
      <c r="F40">
        <v>0</v>
      </c>
    </row>
    <row r="41" spans="1:6" x14ac:dyDescent="0.25">
      <c r="A41" t="str">
        <f>VLOOKUP(B41,[1]Sheet2!$A:$B,2,0)</f>
        <v>CHE</v>
      </c>
      <c r="B41" t="s">
        <v>104</v>
      </c>
      <c r="C41">
        <v>0</v>
      </c>
      <c r="D41">
        <v>0</v>
      </c>
      <c r="E41">
        <v>0</v>
      </c>
      <c r="F41">
        <v>2</v>
      </c>
    </row>
    <row r="42" spans="1:6" x14ac:dyDescent="0.25">
      <c r="A42" t="str">
        <f>VLOOKUP(B42,[1]Sheet2!$A:$B,2,0)</f>
        <v>CHN</v>
      </c>
      <c r="B42" t="s">
        <v>116</v>
      </c>
      <c r="C42">
        <v>0</v>
      </c>
      <c r="D42">
        <v>0</v>
      </c>
      <c r="E42">
        <v>2</v>
      </c>
      <c r="F42">
        <v>1</v>
      </c>
    </row>
    <row r="43" spans="1:6" x14ac:dyDescent="0.25">
      <c r="A43" t="str">
        <f>VLOOKUP(B43,[1]Sheet2!$A:$B,2,0)</f>
        <v>VNM</v>
      </c>
      <c r="B43" t="s">
        <v>117</v>
      </c>
      <c r="C43">
        <v>0</v>
      </c>
      <c r="D43">
        <v>3</v>
      </c>
      <c r="E43">
        <v>1</v>
      </c>
      <c r="F43">
        <v>0</v>
      </c>
    </row>
    <row r="44" spans="1:6" x14ac:dyDescent="0.25">
      <c r="A44" t="str">
        <f>VLOOKUP(B44,[1]Sheet2!$A:$B,2,0)</f>
        <v>CHN</v>
      </c>
      <c r="B44" t="s">
        <v>126</v>
      </c>
      <c r="C44">
        <v>0</v>
      </c>
      <c r="D44">
        <v>3</v>
      </c>
      <c r="E44">
        <v>0</v>
      </c>
      <c r="F44">
        <v>1</v>
      </c>
    </row>
    <row r="45" spans="1:6" x14ac:dyDescent="0.25">
      <c r="A45" t="str">
        <f>VLOOKUP(B45,[1]Sheet2!$A:$B,2,0)</f>
        <v>USA</v>
      </c>
      <c r="B45" t="s">
        <v>131</v>
      </c>
      <c r="C45">
        <v>0</v>
      </c>
      <c r="D45">
        <v>5</v>
      </c>
      <c r="E45">
        <v>0</v>
      </c>
      <c r="F45">
        <v>0</v>
      </c>
    </row>
    <row r="46" spans="1:6" x14ac:dyDescent="0.25">
      <c r="A46" t="str">
        <f>VLOOKUP(B46,[1]Sheet2!$A:$B,2,0)</f>
        <v>TUR</v>
      </c>
      <c r="B46" t="s">
        <v>139</v>
      </c>
      <c r="C46">
        <v>0</v>
      </c>
      <c r="D46">
        <v>1</v>
      </c>
      <c r="E46">
        <v>1</v>
      </c>
      <c r="F46">
        <v>1</v>
      </c>
    </row>
    <row r="47" spans="1:6" x14ac:dyDescent="0.25">
      <c r="A47" t="str">
        <f>VLOOKUP(B47,[1]Sheet2!$A:$B,2,0)</f>
        <v>IDN</v>
      </c>
      <c r="B47" t="s">
        <v>141</v>
      </c>
      <c r="C47">
        <v>0</v>
      </c>
      <c r="D47">
        <v>1</v>
      </c>
      <c r="E47">
        <v>0</v>
      </c>
      <c r="F47">
        <v>2</v>
      </c>
    </row>
    <row r="48" spans="1:6" x14ac:dyDescent="0.25">
      <c r="A48" t="str">
        <f>VLOOKUP(B48,[1]Sheet2!$A:$B,2,0)</f>
        <v>TWN</v>
      </c>
      <c r="B48" t="s">
        <v>149</v>
      </c>
      <c r="C48">
        <v>0</v>
      </c>
      <c r="D48">
        <v>1</v>
      </c>
      <c r="E48">
        <v>0</v>
      </c>
      <c r="F48">
        <v>0</v>
      </c>
    </row>
    <row r="49" spans="1:6" x14ac:dyDescent="0.25">
      <c r="A49" t="str">
        <f>VLOOKUP(B49,[1]Sheet2!$A:$B,2,0)</f>
        <v>UKR</v>
      </c>
      <c r="B49" t="s">
        <v>152</v>
      </c>
      <c r="C49">
        <v>0</v>
      </c>
      <c r="D49">
        <v>2</v>
      </c>
      <c r="E49">
        <v>0</v>
      </c>
      <c r="F49">
        <v>1</v>
      </c>
    </row>
    <row r="50" spans="1:6" x14ac:dyDescent="0.25">
      <c r="A50" t="str">
        <f>VLOOKUP(B50,[1]Sheet2!$A:$B,2,0)</f>
        <v>DEU</v>
      </c>
      <c r="B50" t="s">
        <v>156</v>
      </c>
      <c r="C50">
        <v>0</v>
      </c>
      <c r="D50">
        <v>0</v>
      </c>
      <c r="E50">
        <v>0</v>
      </c>
      <c r="F50">
        <v>1</v>
      </c>
    </row>
    <row r="51" spans="1:6" x14ac:dyDescent="0.25">
      <c r="A51" t="str">
        <f>VLOOKUP(B51,[1]Sheet2!$A:$B,2,0)</f>
        <v>MYS</v>
      </c>
      <c r="B51" t="s">
        <v>159</v>
      </c>
      <c r="C51">
        <v>0</v>
      </c>
      <c r="D51">
        <v>2</v>
      </c>
      <c r="E51">
        <v>1</v>
      </c>
      <c r="F51">
        <v>1</v>
      </c>
    </row>
    <row r="52" spans="1:6" x14ac:dyDescent="0.25">
      <c r="A52" t="str">
        <f>VLOOKUP(B52,[1]Sheet2!$A:$B,2,0)</f>
        <v>GBR</v>
      </c>
      <c r="B52" t="s">
        <v>175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t="str">
        <f>VLOOKUP(B53,[1]Sheet2!$A:$B,2,0)</f>
        <v>DEU</v>
      </c>
      <c r="B53" t="s">
        <v>189</v>
      </c>
      <c r="C53">
        <v>0</v>
      </c>
      <c r="D53">
        <v>0</v>
      </c>
      <c r="E53">
        <v>0</v>
      </c>
      <c r="F53">
        <v>1</v>
      </c>
    </row>
    <row r="54" spans="1:6" x14ac:dyDescent="0.25">
      <c r="A54" t="str">
        <f>VLOOKUP(B54,[1]Sheet2!$A:$B,2,0)</f>
        <v>AUS</v>
      </c>
      <c r="B54" t="s">
        <v>196</v>
      </c>
      <c r="C54">
        <v>0</v>
      </c>
      <c r="D54">
        <v>2</v>
      </c>
      <c r="E54">
        <v>0</v>
      </c>
      <c r="F54">
        <v>1</v>
      </c>
    </row>
    <row r="55" spans="1:6" x14ac:dyDescent="0.25">
      <c r="A55" t="str">
        <f>VLOOKUP(B55,[1]Sheet2!$A:$B,2,0)</f>
        <v>MEX</v>
      </c>
      <c r="B55" t="s">
        <v>199</v>
      </c>
      <c r="C55">
        <v>0</v>
      </c>
      <c r="D55">
        <v>0</v>
      </c>
      <c r="E55">
        <v>0</v>
      </c>
      <c r="F55">
        <v>2</v>
      </c>
    </row>
    <row r="56" spans="1:6" x14ac:dyDescent="0.25">
      <c r="A56" t="str">
        <f>VLOOKUP(B56,[1]Sheet2!$A:$B,2,0)</f>
        <v>USA</v>
      </c>
      <c r="B56" t="s">
        <v>202</v>
      </c>
      <c r="C56">
        <v>0</v>
      </c>
      <c r="D56">
        <v>1</v>
      </c>
      <c r="E56">
        <v>0</v>
      </c>
      <c r="F56">
        <v>1</v>
      </c>
    </row>
    <row r="57" spans="1:6" x14ac:dyDescent="0.25">
      <c r="A57" t="str">
        <f>VLOOKUP(B57,[1]Sheet2!$A:$B,2,0)</f>
        <v>OMN</v>
      </c>
      <c r="B57" t="s">
        <v>204</v>
      </c>
      <c r="C57">
        <v>0</v>
      </c>
      <c r="D57">
        <v>3</v>
      </c>
      <c r="E57">
        <v>0</v>
      </c>
      <c r="F57">
        <v>1</v>
      </c>
    </row>
    <row r="58" spans="1:6" x14ac:dyDescent="0.25">
      <c r="A58" t="str">
        <f>VLOOKUP(B58,[1]Sheet2!$A:$B,2,0)</f>
        <v>CHN</v>
      </c>
      <c r="B58" t="s">
        <v>207</v>
      </c>
      <c r="C58">
        <v>0</v>
      </c>
      <c r="D58">
        <v>3</v>
      </c>
      <c r="E58">
        <v>1</v>
      </c>
      <c r="F58">
        <v>0</v>
      </c>
    </row>
    <row r="59" spans="1:6" x14ac:dyDescent="0.25">
      <c r="A59" t="str">
        <f>VLOOKUP(B59,[1]Sheet2!$A:$B,2,0)</f>
        <v>PAN</v>
      </c>
      <c r="B59" t="s">
        <v>227</v>
      </c>
      <c r="C59">
        <v>0</v>
      </c>
      <c r="D59">
        <v>4</v>
      </c>
      <c r="E59">
        <v>0</v>
      </c>
      <c r="F59">
        <v>0</v>
      </c>
    </row>
    <row r="60" spans="1:6" x14ac:dyDescent="0.25">
      <c r="A60" t="str">
        <f>VLOOKUP(B60,[1]Sheet2!$A:$B,2,0)</f>
        <v>FRA</v>
      </c>
      <c r="B60" t="s">
        <v>228</v>
      </c>
      <c r="C60">
        <v>0</v>
      </c>
      <c r="D60">
        <v>3</v>
      </c>
      <c r="E60">
        <v>1</v>
      </c>
      <c r="F60">
        <v>0</v>
      </c>
    </row>
    <row r="61" spans="1:6" x14ac:dyDescent="0.25">
      <c r="A61" t="str">
        <f>VLOOKUP(B61,[1]Sheet2!$A:$B,2,0)</f>
        <v>MYS</v>
      </c>
      <c r="B61" t="s">
        <v>240</v>
      </c>
      <c r="C61">
        <v>0</v>
      </c>
      <c r="D61">
        <v>0</v>
      </c>
      <c r="E61">
        <v>0</v>
      </c>
      <c r="F61">
        <v>2</v>
      </c>
    </row>
    <row r="62" spans="1:6" x14ac:dyDescent="0.25">
      <c r="A62" t="str">
        <f>VLOOKUP(B62,[1]Sheet2!$A:$B,2,0)</f>
        <v>IND</v>
      </c>
      <c r="B62" t="s">
        <v>241</v>
      </c>
      <c r="C62">
        <v>0</v>
      </c>
      <c r="D62">
        <v>0</v>
      </c>
      <c r="E62">
        <v>0</v>
      </c>
      <c r="F62">
        <v>3</v>
      </c>
    </row>
    <row r="63" spans="1:6" x14ac:dyDescent="0.25">
      <c r="A63" t="str">
        <f>VLOOKUP(B63,[1]Sheet2!$A:$B,2,0)</f>
        <v>MEX</v>
      </c>
      <c r="B63" t="s">
        <v>243</v>
      </c>
      <c r="C63">
        <v>0</v>
      </c>
      <c r="D63">
        <v>0</v>
      </c>
      <c r="E63">
        <v>0</v>
      </c>
      <c r="F63">
        <v>2</v>
      </c>
    </row>
    <row r="64" spans="1:6" x14ac:dyDescent="0.25">
      <c r="A64" t="str">
        <f>VLOOKUP(B64,[1]Sheet2!$A:$B,2,0)</f>
        <v>USA</v>
      </c>
      <c r="B64" t="s">
        <v>257</v>
      </c>
      <c r="C64">
        <v>0</v>
      </c>
      <c r="D64">
        <v>0</v>
      </c>
      <c r="E64">
        <v>4</v>
      </c>
      <c r="F64">
        <v>0</v>
      </c>
    </row>
    <row r="65" spans="1:6" x14ac:dyDescent="0.25">
      <c r="A65" t="str">
        <f>VLOOKUP(B65,[1]Sheet2!$A:$B,2,0)</f>
        <v>CRI</v>
      </c>
      <c r="B65" t="s">
        <v>259</v>
      </c>
      <c r="C65">
        <v>0</v>
      </c>
      <c r="D65">
        <v>3</v>
      </c>
      <c r="E65">
        <v>0</v>
      </c>
      <c r="F65">
        <v>0</v>
      </c>
    </row>
    <row r="66" spans="1:6" x14ac:dyDescent="0.25">
      <c r="A66" t="str">
        <f>VLOOKUP(B66,[1]Sheet2!$A:$B,2,0)</f>
        <v>PRI</v>
      </c>
      <c r="B66" t="s">
        <v>260</v>
      </c>
      <c r="C66">
        <v>0</v>
      </c>
      <c r="D66">
        <v>1</v>
      </c>
      <c r="E66">
        <v>0</v>
      </c>
      <c r="F66">
        <v>0</v>
      </c>
    </row>
    <row r="67" spans="1:6" x14ac:dyDescent="0.25">
      <c r="A67" t="str">
        <f>VLOOKUP(B67,[1]Sheet2!$A:$B,2,0)</f>
        <v>BIH</v>
      </c>
      <c r="B67" t="s">
        <v>270</v>
      </c>
      <c r="C67">
        <v>0</v>
      </c>
      <c r="D67">
        <v>0</v>
      </c>
      <c r="E67">
        <v>1</v>
      </c>
      <c r="F67">
        <v>1</v>
      </c>
    </row>
    <row r="68" spans="1:6" x14ac:dyDescent="0.25">
      <c r="A68" t="str">
        <f>VLOOKUP(B68,[1]Sheet2!$A:$B,2,0)</f>
        <v>SWE</v>
      </c>
      <c r="B68" t="s">
        <v>282</v>
      </c>
      <c r="C68">
        <v>0</v>
      </c>
      <c r="D68">
        <v>0</v>
      </c>
      <c r="E68">
        <v>0</v>
      </c>
      <c r="F68">
        <v>1</v>
      </c>
    </row>
    <row r="69" spans="1:6" x14ac:dyDescent="0.25">
      <c r="A69" t="str">
        <f>VLOOKUP(B69,[1]Sheet2!$A:$B,2,0)</f>
        <v>ISR</v>
      </c>
      <c r="B69" t="s">
        <v>294</v>
      </c>
      <c r="C69">
        <v>0</v>
      </c>
      <c r="D69">
        <v>2</v>
      </c>
      <c r="E69">
        <v>0</v>
      </c>
      <c r="F69">
        <v>0</v>
      </c>
    </row>
    <row r="70" spans="1:6" x14ac:dyDescent="0.25">
      <c r="A70" t="str">
        <f>VLOOKUP(B70,[1]Sheet2!$A:$B,2,0)</f>
        <v>TUN</v>
      </c>
      <c r="B70" t="s">
        <v>304</v>
      </c>
      <c r="C70">
        <v>0</v>
      </c>
      <c r="D70">
        <v>1</v>
      </c>
      <c r="E70">
        <v>1</v>
      </c>
      <c r="F70">
        <v>1</v>
      </c>
    </row>
    <row r="71" spans="1:6" x14ac:dyDescent="0.25">
      <c r="A71" t="str">
        <f>VLOOKUP(B71,[1]Sheet2!$A:$B,2,0)</f>
        <v>LTU</v>
      </c>
      <c r="B71" t="s">
        <v>311</v>
      </c>
      <c r="C71">
        <v>0</v>
      </c>
      <c r="D71">
        <v>1</v>
      </c>
      <c r="E71">
        <v>1</v>
      </c>
      <c r="F71">
        <v>1</v>
      </c>
    </row>
    <row r="72" spans="1:6" x14ac:dyDescent="0.25">
      <c r="A72" t="str">
        <f>VLOOKUP(B72,[1]Sheet2!$A:$B,2,0)</f>
        <v>NZL</v>
      </c>
      <c r="B72" t="s">
        <v>315</v>
      </c>
      <c r="C72">
        <v>0</v>
      </c>
      <c r="D72">
        <v>1</v>
      </c>
      <c r="E72">
        <v>0</v>
      </c>
      <c r="F72">
        <v>0</v>
      </c>
    </row>
    <row r="73" spans="1:6" x14ac:dyDescent="0.25">
      <c r="A73" t="str">
        <f>VLOOKUP(B73,[1]Sheet2!$A:$B,2,0)</f>
        <v>CHE</v>
      </c>
      <c r="B73" t="s">
        <v>331</v>
      </c>
      <c r="C73">
        <v>0</v>
      </c>
      <c r="D73">
        <v>1</v>
      </c>
      <c r="E73">
        <v>0</v>
      </c>
      <c r="F73">
        <v>2</v>
      </c>
    </row>
    <row r="74" spans="1:6" x14ac:dyDescent="0.25">
      <c r="A74" t="str">
        <f>VLOOKUP(B74,[1]Sheet2!$A:$B,2,0)</f>
        <v>USA</v>
      </c>
      <c r="B74" t="s">
        <v>84</v>
      </c>
      <c r="C74">
        <v>0</v>
      </c>
      <c r="D74">
        <v>1</v>
      </c>
      <c r="E74">
        <v>1</v>
      </c>
      <c r="F74">
        <v>0</v>
      </c>
    </row>
    <row r="75" spans="1:6" x14ac:dyDescent="0.25">
      <c r="A75" t="str">
        <f>VLOOKUP(B75,[1]Sheet2!$A:$B,2,0)</f>
        <v>GBR</v>
      </c>
      <c r="B75" t="s">
        <v>107</v>
      </c>
      <c r="C75">
        <v>0</v>
      </c>
      <c r="D75">
        <v>1</v>
      </c>
      <c r="E75">
        <v>0</v>
      </c>
      <c r="F75">
        <v>0</v>
      </c>
    </row>
    <row r="76" spans="1:6" x14ac:dyDescent="0.25">
      <c r="A76" t="str">
        <f>VLOOKUP(B76,[1]Sheet2!$A:$B,2,0)</f>
        <v>PAK</v>
      </c>
      <c r="B76" t="s">
        <v>164</v>
      </c>
      <c r="C76">
        <v>0</v>
      </c>
      <c r="D76">
        <v>2</v>
      </c>
      <c r="E76">
        <v>1</v>
      </c>
      <c r="F76">
        <v>0</v>
      </c>
    </row>
    <row r="77" spans="1:6" x14ac:dyDescent="0.25">
      <c r="A77" t="str">
        <f>VLOOKUP(B77,[1]Sheet2!$A:$B,2,0)</f>
        <v>NLD</v>
      </c>
      <c r="B77" t="s">
        <v>308</v>
      </c>
      <c r="C77">
        <v>1</v>
      </c>
      <c r="D77">
        <v>3</v>
      </c>
      <c r="E77">
        <v>0</v>
      </c>
      <c r="F77">
        <v>2</v>
      </c>
    </row>
    <row r="78" spans="1:6" x14ac:dyDescent="0.25">
      <c r="A78" t="str">
        <f>VLOOKUP(B78,[1]Sheet2!$A:$B,2,0)</f>
        <v>AUS</v>
      </c>
      <c r="B78" t="s">
        <v>8</v>
      </c>
      <c r="C78">
        <v>1</v>
      </c>
      <c r="D78">
        <v>3</v>
      </c>
      <c r="E78">
        <v>0</v>
      </c>
      <c r="F78">
        <v>1</v>
      </c>
    </row>
    <row r="79" spans="1:6" x14ac:dyDescent="0.25">
      <c r="A79" t="str">
        <f>VLOOKUP(B79,[1]Sheet2!$A:$B,2,0)</f>
        <v>BOL</v>
      </c>
      <c r="B79" t="s">
        <v>161</v>
      </c>
      <c r="C79">
        <v>1</v>
      </c>
      <c r="D79">
        <v>2</v>
      </c>
      <c r="E79">
        <v>0</v>
      </c>
      <c r="F79">
        <v>0</v>
      </c>
    </row>
    <row r="80" spans="1:6" x14ac:dyDescent="0.25">
      <c r="A80" t="str">
        <f>VLOOKUP(B80,[1]Sheet2!$A:$B,2,0)</f>
        <v>AUS</v>
      </c>
      <c r="B80" t="s">
        <v>287</v>
      </c>
      <c r="C80">
        <v>1</v>
      </c>
      <c r="D80">
        <v>3</v>
      </c>
      <c r="E80">
        <v>1</v>
      </c>
      <c r="F80">
        <v>0</v>
      </c>
    </row>
    <row r="81" spans="1:6" x14ac:dyDescent="0.25">
      <c r="A81" t="str">
        <f>VLOOKUP(B81,[1]Sheet2!$A:$B,2,0)</f>
        <v>FRA</v>
      </c>
      <c r="B81" t="s">
        <v>302</v>
      </c>
      <c r="C81">
        <v>1</v>
      </c>
      <c r="D81">
        <v>3</v>
      </c>
      <c r="E81">
        <v>0</v>
      </c>
      <c r="F81">
        <v>1</v>
      </c>
    </row>
    <row r="82" spans="1:6" x14ac:dyDescent="0.25">
      <c r="A82" t="str">
        <f>VLOOKUP(B82,[1]Sheet2!$A:$B,2,0)</f>
        <v>HKG</v>
      </c>
      <c r="B82" t="s">
        <v>134</v>
      </c>
      <c r="C82">
        <v>1</v>
      </c>
      <c r="D82">
        <v>1</v>
      </c>
      <c r="E82">
        <v>0</v>
      </c>
      <c r="F82">
        <v>2</v>
      </c>
    </row>
    <row r="83" spans="1:6" x14ac:dyDescent="0.25">
      <c r="A83" t="str">
        <f>VLOOKUP(B83,[1]Sheet2!$A:$B,2,0)</f>
        <v>USA</v>
      </c>
      <c r="B83" t="s">
        <v>191</v>
      </c>
      <c r="C83">
        <v>1</v>
      </c>
      <c r="D83">
        <v>2</v>
      </c>
      <c r="E83">
        <v>1</v>
      </c>
      <c r="F83">
        <v>2</v>
      </c>
    </row>
    <row r="84" spans="1:6" x14ac:dyDescent="0.25">
      <c r="A84" t="str">
        <f>VLOOKUP(B84,[1]Sheet2!$A:$B,2,0)</f>
        <v>DZA</v>
      </c>
      <c r="B84" t="s">
        <v>13</v>
      </c>
      <c r="C84">
        <v>1</v>
      </c>
      <c r="D84">
        <v>3</v>
      </c>
      <c r="E84">
        <v>2</v>
      </c>
      <c r="F84">
        <v>0</v>
      </c>
    </row>
    <row r="85" spans="1:6" x14ac:dyDescent="0.25">
      <c r="A85" t="str">
        <f>VLOOKUP(B85,[1]Sheet2!$A:$B,2,0)</f>
        <v>CHN</v>
      </c>
      <c r="B85" t="s">
        <v>77</v>
      </c>
      <c r="C85">
        <v>1</v>
      </c>
      <c r="D85">
        <v>3</v>
      </c>
      <c r="E85">
        <v>0</v>
      </c>
      <c r="F85">
        <v>0</v>
      </c>
    </row>
    <row r="86" spans="1:6" x14ac:dyDescent="0.25">
      <c r="A86" t="str">
        <f>VLOOKUP(B86,[1]Sheet2!$A:$B,2,0)</f>
        <v>USA</v>
      </c>
      <c r="B86" t="s">
        <v>194</v>
      </c>
      <c r="C86">
        <v>1</v>
      </c>
      <c r="D86">
        <v>1</v>
      </c>
      <c r="E86">
        <v>1</v>
      </c>
      <c r="F86">
        <v>1</v>
      </c>
    </row>
    <row r="87" spans="1:6" x14ac:dyDescent="0.25">
      <c r="A87" t="str">
        <f>VLOOKUP(B87,[1]Sheet2!$A:$B,2,0)</f>
        <v>CHN</v>
      </c>
      <c r="B87" t="s">
        <v>209</v>
      </c>
      <c r="C87">
        <v>1</v>
      </c>
      <c r="D87">
        <v>2</v>
      </c>
      <c r="E87">
        <v>1</v>
      </c>
      <c r="F87">
        <v>0</v>
      </c>
    </row>
    <row r="88" spans="1:6" x14ac:dyDescent="0.25">
      <c r="A88" t="str">
        <f>VLOOKUP(B88,[1]Sheet2!$A:$B,2,0)</f>
        <v>PRT</v>
      </c>
      <c r="B88" t="s">
        <v>235</v>
      </c>
      <c r="C88">
        <v>1</v>
      </c>
      <c r="D88">
        <v>2</v>
      </c>
      <c r="E88">
        <v>2</v>
      </c>
      <c r="F88">
        <v>0</v>
      </c>
    </row>
    <row r="89" spans="1:6" x14ac:dyDescent="0.25">
      <c r="A89" t="str">
        <f>VLOOKUP(B89,[1]Sheet2!$A:$B,2,0)</f>
        <v>BRA</v>
      </c>
      <c r="B89" t="s">
        <v>269</v>
      </c>
      <c r="C89">
        <v>1</v>
      </c>
      <c r="D89">
        <v>2</v>
      </c>
      <c r="E89">
        <v>1</v>
      </c>
      <c r="F89">
        <v>1</v>
      </c>
    </row>
    <row r="90" spans="1:6" x14ac:dyDescent="0.25">
      <c r="A90" t="str">
        <f>VLOOKUP(B90,[1]Sheet2!$A:$B,2,0)</f>
        <v>CAN</v>
      </c>
      <c r="B90" t="s">
        <v>300</v>
      </c>
      <c r="C90">
        <v>1</v>
      </c>
      <c r="D90">
        <v>2</v>
      </c>
      <c r="E90">
        <v>0</v>
      </c>
      <c r="F90">
        <v>1</v>
      </c>
    </row>
    <row r="91" spans="1:6" x14ac:dyDescent="0.25">
      <c r="A91" t="str">
        <f>VLOOKUP(B91,[1]Sheet2!$A:$B,2,0)</f>
        <v>AUT</v>
      </c>
      <c r="B91" t="s">
        <v>317</v>
      </c>
      <c r="C91">
        <v>1</v>
      </c>
      <c r="D91">
        <v>0</v>
      </c>
      <c r="E91">
        <v>0</v>
      </c>
      <c r="F91">
        <v>1</v>
      </c>
    </row>
    <row r="92" spans="1:6" x14ac:dyDescent="0.25">
      <c r="A92" t="str">
        <f>VLOOKUP(B92,[1]Sheet2!$A:$B,2,0)</f>
        <v>CHN</v>
      </c>
      <c r="B92" t="s">
        <v>323</v>
      </c>
      <c r="C92">
        <v>1</v>
      </c>
      <c r="D92">
        <v>4</v>
      </c>
      <c r="E92">
        <v>0</v>
      </c>
      <c r="F92">
        <v>0</v>
      </c>
    </row>
    <row r="93" spans="1:6" x14ac:dyDescent="0.25">
      <c r="A93" t="str">
        <f>VLOOKUP(B93,[1]Sheet2!$A:$B,2,0)</f>
        <v>MMR</v>
      </c>
      <c r="B93" t="s">
        <v>326</v>
      </c>
      <c r="C93">
        <v>1</v>
      </c>
      <c r="D93">
        <v>1</v>
      </c>
      <c r="E93">
        <v>0</v>
      </c>
      <c r="F93">
        <v>0</v>
      </c>
    </row>
    <row r="94" spans="1:6" x14ac:dyDescent="0.25">
      <c r="A94" t="str">
        <f>VLOOKUP(B94,[1]Sheet2!$A:$B,2,0)</f>
        <v>IND</v>
      </c>
      <c r="B94" t="s">
        <v>212</v>
      </c>
      <c r="C94">
        <v>1</v>
      </c>
      <c r="D94">
        <v>1</v>
      </c>
      <c r="E94">
        <v>1</v>
      </c>
      <c r="F94">
        <v>0</v>
      </c>
    </row>
    <row r="95" spans="1:6" x14ac:dyDescent="0.25">
      <c r="A95" t="str">
        <f>VLOOKUP(B95,[1]Sheet2!$A:$B,2,0)</f>
        <v>NOR</v>
      </c>
      <c r="B95" t="s">
        <v>38</v>
      </c>
      <c r="C95">
        <v>1</v>
      </c>
      <c r="D95">
        <v>0</v>
      </c>
      <c r="E95">
        <v>0</v>
      </c>
      <c r="F95">
        <v>3</v>
      </c>
    </row>
    <row r="96" spans="1:6" x14ac:dyDescent="0.25">
      <c r="A96" t="str">
        <f>VLOOKUP(B96,[1]Sheet2!$A:$B,2,0)</f>
        <v>GBR</v>
      </c>
      <c r="B96" t="s">
        <v>50</v>
      </c>
      <c r="C96">
        <v>1</v>
      </c>
      <c r="D96">
        <v>0</v>
      </c>
      <c r="E96">
        <v>0</v>
      </c>
      <c r="F96">
        <v>1</v>
      </c>
    </row>
    <row r="97" spans="1:6" x14ac:dyDescent="0.25">
      <c r="A97" t="str">
        <f>VLOOKUP(B97,[1]Sheet2!$A:$B,2,0)</f>
        <v>CAN</v>
      </c>
      <c r="B97" t="s">
        <v>121</v>
      </c>
      <c r="C97">
        <v>1</v>
      </c>
      <c r="D97">
        <v>0</v>
      </c>
      <c r="E97">
        <v>0</v>
      </c>
      <c r="F97">
        <v>1</v>
      </c>
    </row>
    <row r="98" spans="1:6" x14ac:dyDescent="0.25">
      <c r="A98" t="str">
        <f>VLOOKUP(B98,[1]Sheet2!$A:$B,2,0)</f>
        <v>IND</v>
      </c>
      <c r="B98" t="s">
        <v>155</v>
      </c>
      <c r="C98">
        <v>1</v>
      </c>
      <c r="D98">
        <v>0</v>
      </c>
      <c r="E98">
        <v>0</v>
      </c>
      <c r="F98">
        <v>2</v>
      </c>
    </row>
    <row r="99" spans="1:6" x14ac:dyDescent="0.25">
      <c r="A99" t="str">
        <f>VLOOKUP(B99,[1]Sheet2!$A:$B,2,0)</f>
        <v>AGO</v>
      </c>
      <c r="B99" t="s">
        <v>179</v>
      </c>
      <c r="C99">
        <v>1</v>
      </c>
      <c r="D99">
        <v>1</v>
      </c>
      <c r="E99">
        <v>2</v>
      </c>
      <c r="F99">
        <v>1</v>
      </c>
    </row>
    <row r="100" spans="1:6" x14ac:dyDescent="0.25">
      <c r="A100" t="str">
        <f>VLOOKUP(B100,[1]Sheet2!$A:$B,2,0)</f>
        <v>MOZ</v>
      </c>
      <c r="B100" t="s">
        <v>190</v>
      </c>
      <c r="C100">
        <v>1</v>
      </c>
      <c r="D100">
        <v>0</v>
      </c>
      <c r="E100">
        <v>0</v>
      </c>
      <c r="F100">
        <v>2</v>
      </c>
    </row>
    <row r="101" spans="1:6" x14ac:dyDescent="0.25">
      <c r="A101" t="str">
        <f>VLOOKUP(B101,[1]Sheet2!$A:$B,2,0)</f>
        <v>HND</v>
      </c>
      <c r="B101" t="s">
        <v>262</v>
      </c>
      <c r="C101">
        <v>1</v>
      </c>
      <c r="D101">
        <v>4</v>
      </c>
      <c r="E101">
        <v>0</v>
      </c>
      <c r="F101">
        <v>1</v>
      </c>
    </row>
    <row r="102" spans="1:6" x14ac:dyDescent="0.25">
      <c r="A102" t="str">
        <f>VLOOKUP(B102,[1]Sheet2!$A:$B,2,0)</f>
        <v>CHN</v>
      </c>
      <c r="B102" t="s">
        <v>322</v>
      </c>
      <c r="C102">
        <v>1</v>
      </c>
      <c r="D102">
        <v>0</v>
      </c>
      <c r="E102">
        <v>1</v>
      </c>
      <c r="F102">
        <v>1</v>
      </c>
    </row>
    <row r="103" spans="1:6" x14ac:dyDescent="0.25">
      <c r="A103" t="str">
        <f>VLOOKUP(B103,[1]Sheet2!$A:$B,2,0)</f>
        <v>GHA</v>
      </c>
      <c r="B103" t="s">
        <v>6</v>
      </c>
      <c r="C103">
        <v>1</v>
      </c>
      <c r="D103">
        <v>2</v>
      </c>
      <c r="E103">
        <v>1</v>
      </c>
      <c r="F103">
        <v>0</v>
      </c>
    </row>
    <row r="104" spans="1:6" x14ac:dyDescent="0.25">
      <c r="A104" t="str">
        <f>VLOOKUP(B104,[1]Sheet2!$A:$B,2,0)</f>
        <v>NLD</v>
      </c>
      <c r="B104" t="s">
        <v>17</v>
      </c>
      <c r="C104">
        <v>1</v>
      </c>
      <c r="D104">
        <v>1</v>
      </c>
      <c r="E104">
        <v>1</v>
      </c>
      <c r="F104">
        <v>1</v>
      </c>
    </row>
    <row r="105" spans="1:6" x14ac:dyDescent="0.25">
      <c r="A105" t="str">
        <f>VLOOKUP(B105,[1]Sheet2!$A:$B,2,0)</f>
        <v>TUR</v>
      </c>
      <c r="B105" t="s">
        <v>18</v>
      </c>
      <c r="C105">
        <v>1</v>
      </c>
      <c r="D105">
        <v>1</v>
      </c>
      <c r="E105">
        <v>1</v>
      </c>
      <c r="F105">
        <v>1</v>
      </c>
    </row>
    <row r="106" spans="1:6" x14ac:dyDescent="0.25">
      <c r="A106" t="str">
        <f>VLOOKUP(B106,[1]Sheet2!$A:$B,2,0)</f>
        <v>DNK</v>
      </c>
      <c r="B106" t="s">
        <v>21</v>
      </c>
      <c r="C106">
        <v>1</v>
      </c>
      <c r="D106">
        <v>0</v>
      </c>
      <c r="E106">
        <v>0</v>
      </c>
      <c r="F106">
        <v>1</v>
      </c>
    </row>
    <row r="107" spans="1:6" x14ac:dyDescent="0.25">
      <c r="A107" t="str">
        <f>VLOOKUP(B107,[1]Sheet2!$A:$B,2,0)</f>
        <v>USA</v>
      </c>
      <c r="B107" t="s">
        <v>25</v>
      </c>
      <c r="C107">
        <v>1</v>
      </c>
      <c r="D107">
        <v>0</v>
      </c>
      <c r="E107">
        <v>2</v>
      </c>
      <c r="F107">
        <v>0</v>
      </c>
    </row>
    <row r="108" spans="1:6" x14ac:dyDescent="0.25">
      <c r="A108" t="str">
        <f>VLOOKUP(B108,[1]Sheet2!$A:$B,2,0)</f>
        <v>COL</v>
      </c>
      <c r="B108" t="s">
        <v>32</v>
      </c>
      <c r="C108">
        <v>1</v>
      </c>
      <c r="D108">
        <v>2</v>
      </c>
      <c r="E108">
        <v>2</v>
      </c>
      <c r="F108">
        <v>0</v>
      </c>
    </row>
    <row r="109" spans="1:6" x14ac:dyDescent="0.25">
      <c r="A109" t="str">
        <f>VLOOKUP(B109,[1]Sheet2!$A:$B,2,0)</f>
        <v>CHE</v>
      </c>
      <c r="B109" t="s">
        <v>40</v>
      </c>
      <c r="C109">
        <v>1</v>
      </c>
      <c r="D109">
        <v>0</v>
      </c>
      <c r="E109">
        <v>0</v>
      </c>
      <c r="F109">
        <v>1</v>
      </c>
    </row>
    <row r="110" spans="1:6" x14ac:dyDescent="0.25">
      <c r="A110" t="str">
        <f>VLOOKUP(B110,[1]Sheet2!$A:$B,2,0)</f>
        <v>BRA</v>
      </c>
      <c r="B110" t="s">
        <v>47</v>
      </c>
      <c r="C110">
        <v>1</v>
      </c>
      <c r="D110">
        <v>1</v>
      </c>
      <c r="E110">
        <v>0</v>
      </c>
      <c r="F110">
        <v>1</v>
      </c>
    </row>
    <row r="111" spans="1:6" x14ac:dyDescent="0.25">
      <c r="A111" t="str">
        <f>VLOOKUP(B111,[1]Sheet2!$A:$B,2,0)</f>
        <v>CHN</v>
      </c>
      <c r="B111" t="s">
        <v>64</v>
      </c>
      <c r="C111">
        <v>1</v>
      </c>
      <c r="D111">
        <v>2</v>
      </c>
      <c r="E111">
        <v>2</v>
      </c>
      <c r="F111">
        <v>0</v>
      </c>
    </row>
    <row r="112" spans="1:6" x14ac:dyDescent="0.25">
      <c r="A112" t="str">
        <f>VLOOKUP(B112,[1]Sheet2!$A:$B,2,0)</f>
        <v>ZAF</v>
      </c>
      <c r="B112" t="s">
        <v>66</v>
      </c>
      <c r="C112">
        <v>1</v>
      </c>
      <c r="D112">
        <v>1</v>
      </c>
      <c r="E112">
        <v>0</v>
      </c>
      <c r="F112">
        <v>1</v>
      </c>
    </row>
    <row r="113" spans="1:6" x14ac:dyDescent="0.25">
      <c r="A113" t="str">
        <f>VLOOKUP(B113,[1]Sheet2!$A:$B,2,0)</f>
        <v>CAN</v>
      </c>
      <c r="B113" t="s">
        <v>72</v>
      </c>
      <c r="C113">
        <v>1</v>
      </c>
      <c r="D113">
        <v>0</v>
      </c>
      <c r="E113">
        <v>0</v>
      </c>
      <c r="F113">
        <v>1</v>
      </c>
    </row>
    <row r="114" spans="1:6" x14ac:dyDescent="0.25">
      <c r="A114" t="str">
        <f>VLOOKUP(B114,[1]Sheet2!$A:$B,2,0)</f>
        <v>USA</v>
      </c>
      <c r="B114" t="s">
        <v>78</v>
      </c>
      <c r="C114">
        <v>1</v>
      </c>
      <c r="D114">
        <v>2</v>
      </c>
      <c r="E114">
        <v>0</v>
      </c>
      <c r="F114">
        <v>1</v>
      </c>
    </row>
    <row r="115" spans="1:6" x14ac:dyDescent="0.25">
      <c r="A115" t="str">
        <f>VLOOKUP(B115,[1]Sheet2!$A:$B,2,0)</f>
        <v>BGD</v>
      </c>
      <c r="B115" t="s">
        <v>83</v>
      </c>
      <c r="C115">
        <v>1</v>
      </c>
      <c r="D115">
        <v>3</v>
      </c>
      <c r="E115">
        <v>0</v>
      </c>
      <c r="F115">
        <v>0</v>
      </c>
    </row>
    <row r="116" spans="1:6" x14ac:dyDescent="0.25">
      <c r="A116" t="str">
        <f>VLOOKUP(B116,[1]Sheet2!$A:$B,2,0)</f>
        <v>USA</v>
      </c>
      <c r="B116" t="s">
        <v>94</v>
      </c>
      <c r="C116">
        <v>1</v>
      </c>
      <c r="D116">
        <v>1</v>
      </c>
      <c r="E116">
        <v>0</v>
      </c>
      <c r="F116">
        <v>1</v>
      </c>
    </row>
    <row r="117" spans="1:6" x14ac:dyDescent="0.25">
      <c r="A117" t="str">
        <f>VLOOKUP(B117,[1]Sheet2!$A:$B,2,0)</f>
        <v>CHN</v>
      </c>
      <c r="B117" t="s">
        <v>102</v>
      </c>
      <c r="C117">
        <v>1</v>
      </c>
      <c r="D117">
        <v>2</v>
      </c>
      <c r="E117">
        <v>1</v>
      </c>
      <c r="F117">
        <v>0</v>
      </c>
    </row>
    <row r="118" spans="1:6" x14ac:dyDescent="0.25">
      <c r="A118" t="str">
        <f>VLOOKUP(B118,[1]Sheet2!$A:$B,2,0)</f>
        <v>CAN</v>
      </c>
      <c r="B118" t="s">
        <v>119</v>
      </c>
      <c r="C118">
        <v>1</v>
      </c>
      <c r="D118">
        <v>1</v>
      </c>
      <c r="E118">
        <v>0</v>
      </c>
      <c r="F118">
        <v>1</v>
      </c>
    </row>
    <row r="119" spans="1:6" x14ac:dyDescent="0.25">
      <c r="A119" t="str">
        <f>VLOOKUP(B119,[1]Sheet2!$A:$B,2,0)</f>
        <v>DEU</v>
      </c>
      <c r="B119" t="s">
        <v>124</v>
      </c>
      <c r="C119">
        <v>1</v>
      </c>
      <c r="D119">
        <v>1</v>
      </c>
      <c r="E119">
        <v>0</v>
      </c>
      <c r="F119">
        <v>0</v>
      </c>
    </row>
    <row r="120" spans="1:6" x14ac:dyDescent="0.25">
      <c r="A120" t="str">
        <f>VLOOKUP(B120,[1]Sheet2!$A:$B,2,0)</f>
        <v>FIN</v>
      </c>
      <c r="B120" t="s">
        <v>129</v>
      </c>
      <c r="C120">
        <v>1</v>
      </c>
      <c r="D120">
        <v>1</v>
      </c>
      <c r="E120">
        <v>0</v>
      </c>
      <c r="F120">
        <v>2</v>
      </c>
    </row>
    <row r="121" spans="1:6" x14ac:dyDescent="0.25">
      <c r="A121" t="str">
        <f>VLOOKUP(B121,[1]Sheet2!$A:$B,2,0)</f>
        <v>USA</v>
      </c>
      <c r="B121" t="s">
        <v>135</v>
      </c>
      <c r="C121">
        <v>1</v>
      </c>
      <c r="D121">
        <v>2</v>
      </c>
      <c r="E121">
        <v>0</v>
      </c>
      <c r="F121">
        <v>0</v>
      </c>
    </row>
    <row r="122" spans="1:6" x14ac:dyDescent="0.25">
      <c r="A122" t="str">
        <f>VLOOKUP(B122,[1]Sheet2!$A:$B,2,0)</f>
        <v>TUR</v>
      </c>
      <c r="B122" t="s">
        <v>138</v>
      </c>
      <c r="C122">
        <v>1</v>
      </c>
      <c r="D122">
        <v>1</v>
      </c>
      <c r="E122">
        <v>2</v>
      </c>
      <c r="F122">
        <v>1</v>
      </c>
    </row>
    <row r="123" spans="1:6" x14ac:dyDescent="0.25">
      <c r="A123" t="str">
        <f>VLOOKUP(B123,[1]Sheet2!$A:$B,2,0)</f>
        <v>USA</v>
      </c>
      <c r="B123" t="s">
        <v>142</v>
      </c>
      <c r="C123">
        <v>1</v>
      </c>
      <c r="D123">
        <v>1</v>
      </c>
      <c r="E123">
        <v>0</v>
      </c>
      <c r="F123">
        <v>1</v>
      </c>
    </row>
    <row r="124" spans="1:6" x14ac:dyDescent="0.25">
      <c r="A124" t="str">
        <f>VLOOKUP(B124,[1]Sheet2!$A:$B,2,0)</f>
        <v>USA</v>
      </c>
      <c r="B124" t="s">
        <v>143</v>
      </c>
      <c r="C124">
        <v>1</v>
      </c>
      <c r="D124">
        <v>2</v>
      </c>
      <c r="E124">
        <v>2</v>
      </c>
      <c r="F124">
        <v>0</v>
      </c>
    </row>
    <row r="125" spans="1:6" x14ac:dyDescent="0.25">
      <c r="A125" t="str">
        <f>VLOOKUP(B125,[1]Sheet2!$A:$B,2,0)</f>
        <v>GBR</v>
      </c>
      <c r="B125" t="s">
        <v>167</v>
      </c>
      <c r="C125">
        <v>1</v>
      </c>
      <c r="D125">
        <v>0</v>
      </c>
      <c r="E125">
        <v>1</v>
      </c>
      <c r="F125">
        <v>0</v>
      </c>
    </row>
    <row r="126" spans="1:6" x14ac:dyDescent="0.25">
      <c r="A126" t="str">
        <f>VLOOKUP(B126,[1]Sheet2!$A:$B,2,0)</f>
        <v>USA</v>
      </c>
      <c r="B126" t="s">
        <v>178</v>
      </c>
      <c r="C126">
        <v>1</v>
      </c>
      <c r="D126">
        <v>3</v>
      </c>
      <c r="E126">
        <v>0</v>
      </c>
      <c r="F126">
        <v>0</v>
      </c>
    </row>
    <row r="127" spans="1:6" x14ac:dyDescent="0.25">
      <c r="A127" t="str">
        <f>VLOOKUP(B127,[1]Sheet2!$A:$B,2,0)</f>
        <v>LUX</v>
      </c>
      <c r="B127" t="s">
        <v>181</v>
      </c>
      <c r="C127">
        <v>1</v>
      </c>
      <c r="D127">
        <v>1</v>
      </c>
      <c r="E127">
        <v>0</v>
      </c>
      <c r="F127">
        <v>1</v>
      </c>
    </row>
    <row r="128" spans="1:6" x14ac:dyDescent="0.25">
      <c r="A128" t="str">
        <f>VLOOKUP(B128,[1]Sheet2!$A:$B,2,0)</f>
        <v>PHL</v>
      </c>
      <c r="B128" t="s">
        <v>188</v>
      </c>
      <c r="C128">
        <v>1</v>
      </c>
      <c r="D128">
        <v>0</v>
      </c>
      <c r="E128">
        <v>1</v>
      </c>
      <c r="F128">
        <v>1</v>
      </c>
    </row>
    <row r="129" spans="1:6" x14ac:dyDescent="0.25">
      <c r="A129" t="str">
        <f>VLOOKUP(B129,[1]Sheet2!$A:$B,2,0)</f>
        <v>JPN</v>
      </c>
      <c r="B129" t="s">
        <v>205</v>
      </c>
      <c r="C129">
        <v>1</v>
      </c>
      <c r="D129">
        <v>2</v>
      </c>
      <c r="E129">
        <v>0</v>
      </c>
      <c r="F129">
        <v>1</v>
      </c>
    </row>
    <row r="130" spans="1:6" x14ac:dyDescent="0.25">
      <c r="A130" t="str">
        <f>VLOOKUP(B130,[1]Sheet2!$A:$B,2,0)</f>
        <v>USA</v>
      </c>
      <c r="B130" t="s">
        <v>214</v>
      </c>
      <c r="C130">
        <v>1</v>
      </c>
      <c r="D130">
        <v>1</v>
      </c>
      <c r="E130">
        <v>0</v>
      </c>
      <c r="F130">
        <v>1</v>
      </c>
    </row>
    <row r="131" spans="1:6" x14ac:dyDescent="0.25">
      <c r="A131" t="str">
        <f>VLOOKUP(B131,[1]Sheet2!$A:$B,2,0)</f>
        <v>FRA</v>
      </c>
      <c r="B131" t="s">
        <v>216</v>
      </c>
      <c r="C131">
        <v>1</v>
      </c>
      <c r="D131">
        <v>1</v>
      </c>
      <c r="E131">
        <v>1</v>
      </c>
      <c r="F131">
        <v>1</v>
      </c>
    </row>
    <row r="132" spans="1:6" x14ac:dyDescent="0.25">
      <c r="A132" t="str">
        <f>VLOOKUP(B132,[1]Sheet2!$A:$B,2,0)</f>
        <v>GBR</v>
      </c>
      <c r="B132" t="s">
        <v>219</v>
      </c>
      <c r="C132">
        <v>1</v>
      </c>
      <c r="D132">
        <v>0</v>
      </c>
      <c r="E132">
        <v>0</v>
      </c>
      <c r="F132">
        <v>1</v>
      </c>
    </row>
    <row r="133" spans="1:6" x14ac:dyDescent="0.25">
      <c r="A133" t="str">
        <f>VLOOKUP(B133,[1]Sheet2!$A:$B,2,0)</f>
        <v>USA</v>
      </c>
      <c r="B133" t="s">
        <v>222</v>
      </c>
      <c r="C133">
        <v>1</v>
      </c>
      <c r="D133">
        <v>1</v>
      </c>
      <c r="E133">
        <v>0</v>
      </c>
      <c r="F133">
        <v>1</v>
      </c>
    </row>
    <row r="134" spans="1:6" x14ac:dyDescent="0.25">
      <c r="A134" t="str">
        <f>VLOOKUP(B134,[1]Sheet2!$A:$B,2,0)</f>
        <v>JPN</v>
      </c>
      <c r="B134" t="s">
        <v>223</v>
      </c>
      <c r="C134">
        <v>1</v>
      </c>
      <c r="D134">
        <v>3</v>
      </c>
      <c r="E134">
        <v>0</v>
      </c>
      <c r="F134">
        <v>0</v>
      </c>
    </row>
    <row r="135" spans="1:6" x14ac:dyDescent="0.25">
      <c r="A135" t="str">
        <f>VLOOKUP(B135,[1]Sheet2!$A:$B,2,0)</f>
        <v>AUS</v>
      </c>
      <c r="B135" t="s">
        <v>229</v>
      </c>
      <c r="C135">
        <v>1</v>
      </c>
      <c r="D135">
        <v>2</v>
      </c>
      <c r="E135">
        <v>2</v>
      </c>
      <c r="F135">
        <v>0</v>
      </c>
    </row>
    <row r="136" spans="1:6" x14ac:dyDescent="0.25">
      <c r="A136" t="str">
        <f>VLOOKUP(B136,[1]Sheet2!$A:$B,2,0)</f>
        <v>USA</v>
      </c>
      <c r="B136" t="s">
        <v>230</v>
      </c>
      <c r="C136">
        <v>1</v>
      </c>
      <c r="D136">
        <v>1</v>
      </c>
      <c r="E136">
        <v>1</v>
      </c>
      <c r="F136">
        <v>0</v>
      </c>
    </row>
    <row r="137" spans="1:6" x14ac:dyDescent="0.25">
      <c r="A137" t="str">
        <f>VLOOKUP(B137,[1]Sheet2!$A:$B,2,0)</f>
        <v>KHM</v>
      </c>
      <c r="B137" t="s">
        <v>231</v>
      </c>
      <c r="C137">
        <v>1</v>
      </c>
      <c r="D137">
        <v>0</v>
      </c>
      <c r="E137">
        <v>1</v>
      </c>
      <c r="F137">
        <v>0</v>
      </c>
    </row>
    <row r="138" spans="1:6" x14ac:dyDescent="0.25">
      <c r="A138" t="str">
        <f>VLOOKUP(B138,[1]Sheet2!$A:$B,2,0)</f>
        <v>MUS</v>
      </c>
      <c r="B138" t="s">
        <v>233</v>
      </c>
      <c r="C138">
        <v>1</v>
      </c>
      <c r="D138">
        <v>2</v>
      </c>
      <c r="E138">
        <v>0</v>
      </c>
      <c r="F138">
        <v>1</v>
      </c>
    </row>
    <row r="139" spans="1:6" x14ac:dyDescent="0.25">
      <c r="A139" t="str">
        <f>VLOOKUP(B139,[1]Sheet2!$A:$B,2,0)</f>
        <v>TTO</v>
      </c>
      <c r="B139" t="s">
        <v>234</v>
      </c>
      <c r="C139">
        <v>1</v>
      </c>
      <c r="D139">
        <v>0</v>
      </c>
      <c r="E139">
        <v>1</v>
      </c>
      <c r="F139">
        <v>2</v>
      </c>
    </row>
    <row r="140" spans="1:6" x14ac:dyDescent="0.25">
      <c r="A140" t="str">
        <f>VLOOKUP(B140,[1]Sheet2!$A:$B,2,0)</f>
        <v>CZE</v>
      </c>
      <c r="B140" t="s">
        <v>238</v>
      </c>
      <c r="C140">
        <v>1</v>
      </c>
      <c r="D140">
        <v>3</v>
      </c>
      <c r="E140">
        <v>0</v>
      </c>
      <c r="F140">
        <v>0</v>
      </c>
    </row>
    <row r="141" spans="1:6" x14ac:dyDescent="0.25">
      <c r="A141" t="str">
        <f>VLOOKUP(B141,[1]Sheet2!$A:$B,2,0)</f>
        <v>MEX</v>
      </c>
      <c r="B141" t="s">
        <v>239</v>
      </c>
      <c r="C141">
        <v>1</v>
      </c>
      <c r="D141">
        <v>5</v>
      </c>
      <c r="E141">
        <v>1</v>
      </c>
      <c r="F141">
        <v>0</v>
      </c>
    </row>
    <row r="142" spans="1:6" x14ac:dyDescent="0.25">
      <c r="A142" t="str">
        <f>VLOOKUP(B142,[1]Sheet2!$A:$B,2,0)</f>
        <v>USA</v>
      </c>
      <c r="B142" t="s">
        <v>245</v>
      </c>
      <c r="C142">
        <v>1</v>
      </c>
      <c r="D142">
        <v>3</v>
      </c>
      <c r="E142">
        <v>0</v>
      </c>
      <c r="F142">
        <v>0</v>
      </c>
    </row>
    <row r="143" spans="1:6" x14ac:dyDescent="0.25">
      <c r="A143" t="str">
        <f>VLOOKUP(B143,[1]Sheet2!$A:$B,2,0)</f>
        <v>BRA</v>
      </c>
      <c r="B143" t="s">
        <v>249</v>
      </c>
      <c r="C143">
        <v>1</v>
      </c>
      <c r="D143">
        <v>1</v>
      </c>
      <c r="E143">
        <v>0</v>
      </c>
      <c r="F143">
        <v>1</v>
      </c>
    </row>
    <row r="144" spans="1:6" x14ac:dyDescent="0.25">
      <c r="A144" t="str">
        <f>VLOOKUP(B144,[1]Sheet2!$A:$B,2,0)</f>
        <v>USA</v>
      </c>
      <c r="B144" t="s">
        <v>254</v>
      </c>
      <c r="C144">
        <v>1</v>
      </c>
      <c r="D144">
        <v>0</v>
      </c>
      <c r="E144">
        <v>1</v>
      </c>
      <c r="F144">
        <v>1</v>
      </c>
    </row>
    <row r="145" spans="1:6" x14ac:dyDescent="0.25">
      <c r="A145" t="str">
        <f>VLOOKUP(B145,[1]Sheet2!$A:$B,2,0)</f>
        <v>SLV</v>
      </c>
      <c r="B145" t="s">
        <v>263</v>
      </c>
      <c r="C145">
        <v>1</v>
      </c>
      <c r="D145">
        <v>1</v>
      </c>
      <c r="E145">
        <v>2</v>
      </c>
      <c r="F145">
        <v>0</v>
      </c>
    </row>
    <row r="146" spans="1:6" x14ac:dyDescent="0.25">
      <c r="A146" t="str">
        <f>VLOOKUP(B146,[1]Sheet2!$A:$B,2,0)</f>
        <v>FRA</v>
      </c>
      <c r="B146" t="s">
        <v>271</v>
      </c>
      <c r="C146">
        <v>1</v>
      </c>
      <c r="D146">
        <v>0</v>
      </c>
      <c r="E146">
        <v>0</v>
      </c>
      <c r="F146">
        <v>1</v>
      </c>
    </row>
    <row r="147" spans="1:6" x14ac:dyDescent="0.25">
      <c r="A147" t="str">
        <f>VLOOKUP(B147,[1]Sheet2!$A:$B,2,0)</f>
        <v>USA</v>
      </c>
      <c r="B147" t="s">
        <v>275</v>
      </c>
      <c r="C147">
        <v>1</v>
      </c>
      <c r="D147">
        <v>0</v>
      </c>
      <c r="E147">
        <v>2</v>
      </c>
      <c r="F147">
        <v>1</v>
      </c>
    </row>
    <row r="148" spans="1:6" x14ac:dyDescent="0.25">
      <c r="A148" t="str">
        <f>VLOOKUP(B148,[1]Sheet2!$A:$B,2,0)</f>
        <v>TWN</v>
      </c>
      <c r="B148" t="s">
        <v>289</v>
      </c>
      <c r="C148">
        <v>1</v>
      </c>
      <c r="D148">
        <v>2</v>
      </c>
      <c r="E148">
        <v>2</v>
      </c>
      <c r="F148">
        <v>0</v>
      </c>
    </row>
    <row r="149" spans="1:6" x14ac:dyDescent="0.25">
      <c r="A149" t="str">
        <f>VLOOKUP(B149,[1]Sheet2!$A:$B,2,0)</f>
        <v>ESP</v>
      </c>
      <c r="B149" t="s">
        <v>309</v>
      </c>
      <c r="C149">
        <v>1</v>
      </c>
      <c r="D149">
        <v>0</v>
      </c>
      <c r="E149">
        <v>1</v>
      </c>
      <c r="F149">
        <v>1</v>
      </c>
    </row>
    <row r="150" spans="1:6" x14ac:dyDescent="0.25">
      <c r="A150" t="str">
        <f>VLOOKUP(B150,[1]Sheet2!$A:$B,2,0)</f>
        <v>POL</v>
      </c>
      <c r="B150" t="s">
        <v>313</v>
      </c>
      <c r="C150">
        <v>1</v>
      </c>
      <c r="D150">
        <v>1</v>
      </c>
      <c r="E150">
        <v>1</v>
      </c>
      <c r="F150">
        <v>2</v>
      </c>
    </row>
    <row r="151" spans="1:6" x14ac:dyDescent="0.25">
      <c r="A151" t="str">
        <f>VLOOKUP(B151,[1]Sheet2!$A:$B,2,0)</f>
        <v>USA</v>
      </c>
      <c r="B151" t="s">
        <v>314</v>
      </c>
      <c r="C151">
        <v>1</v>
      </c>
      <c r="D151">
        <v>0</v>
      </c>
      <c r="E151">
        <v>0</v>
      </c>
      <c r="F151">
        <v>2</v>
      </c>
    </row>
    <row r="152" spans="1:6" x14ac:dyDescent="0.25">
      <c r="A152" t="str">
        <f>VLOOKUP(B152,[1]Sheet2!$A:$B,2,0)</f>
        <v>CMR</v>
      </c>
      <c r="B152" t="s">
        <v>320</v>
      </c>
      <c r="C152">
        <v>1</v>
      </c>
      <c r="D152">
        <v>1</v>
      </c>
      <c r="E152">
        <v>1</v>
      </c>
      <c r="F152">
        <v>1</v>
      </c>
    </row>
    <row r="153" spans="1:6" x14ac:dyDescent="0.25">
      <c r="A153" t="str">
        <f>VLOOKUP(B153,[1]Sheet2!$A:$B,2,0)</f>
        <v>CHN</v>
      </c>
      <c r="B153" t="s">
        <v>327</v>
      </c>
      <c r="C153">
        <v>1</v>
      </c>
      <c r="D153">
        <v>2</v>
      </c>
      <c r="E153">
        <v>1</v>
      </c>
      <c r="F153">
        <v>0</v>
      </c>
    </row>
    <row r="154" spans="1:6" x14ac:dyDescent="0.25">
      <c r="A154" t="str">
        <f>VLOOKUP(B154,[1]Sheet2!$A:$B,2,0)</f>
        <v>HRV</v>
      </c>
      <c r="B154" t="s">
        <v>328</v>
      </c>
      <c r="C154">
        <v>1</v>
      </c>
      <c r="D154">
        <v>0</v>
      </c>
      <c r="E154">
        <v>0</v>
      </c>
      <c r="F154">
        <v>1</v>
      </c>
    </row>
    <row r="155" spans="1:6" x14ac:dyDescent="0.25">
      <c r="A155" t="str">
        <f>VLOOKUP(B155,[1]Sheet2!$A:$B,2,0)</f>
        <v>USA</v>
      </c>
      <c r="B155" t="s">
        <v>333</v>
      </c>
      <c r="C155">
        <v>1</v>
      </c>
      <c r="D155">
        <v>2</v>
      </c>
      <c r="E155">
        <v>1</v>
      </c>
      <c r="F155">
        <v>0</v>
      </c>
    </row>
    <row r="156" spans="1:6" x14ac:dyDescent="0.25">
      <c r="A156" t="str">
        <f>VLOOKUP(B156,[1]Sheet2!$A:$B,2,0)</f>
        <v>POL</v>
      </c>
      <c r="B156" t="s">
        <v>151</v>
      </c>
      <c r="C156">
        <v>1</v>
      </c>
      <c r="D156">
        <v>2</v>
      </c>
      <c r="E156">
        <v>1</v>
      </c>
      <c r="F156">
        <v>0</v>
      </c>
    </row>
    <row r="157" spans="1:6" x14ac:dyDescent="0.25">
      <c r="A157" t="str">
        <f>VLOOKUP(B157,[1]Sheet2!$A:$B,2,0)</f>
        <v>ZMB</v>
      </c>
      <c r="B157" t="s">
        <v>180</v>
      </c>
      <c r="C157">
        <v>1</v>
      </c>
      <c r="D157">
        <v>0</v>
      </c>
      <c r="E157">
        <v>2</v>
      </c>
      <c r="F157">
        <v>0</v>
      </c>
    </row>
    <row r="158" spans="1:6" x14ac:dyDescent="0.25">
      <c r="A158" t="str">
        <f>VLOOKUP(B158,[1]Sheet2!$A:$B,2,0)</f>
        <v>COL</v>
      </c>
      <c r="B158" t="s">
        <v>266</v>
      </c>
      <c r="C158">
        <v>1</v>
      </c>
      <c r="D158">
        <v>1</v>
      </c>
      <c r="E158">
        <v>1</v>
      </c>
      <c r="F158">
        <v>1</v>
      </c>
    </row>
    <row r="159" spans="1:6" x14ac:dyDescent="0.25">
      <c r="A159" t="str">
        <f>VLOOKUP(B159,[1]Sheet2!$A:$B,2,0)</f>
        <v>LKA</v>
      </c>
      <c r="B159" t="s">
        <v>70</v>
      </c>
      <c r="C159">
        <v>1</v>
      </c>
      <c r="D159">
        <v>1</v>
      </c>
      <c r="E159">
        <v>2</v>
      </c>
      <c r="F159">
        <v>0</v>
      </c>
    </row>
    <row r="160" spans="1:6" x14ac:dyDescent="0.25">
      <c r="A160" t="str">
        <f>VLOOKUP(B160,[1]Sheet2!$A:$B,2,0)</f>
        <v>SGP</v>
      </c>
      <c r="B160" t="s">
        <v>279</v>
      </c>
      <c r="C160">
        <v>1</v>
      </c>
      <c r="D160">
        <v>0</v>
      </c>
      <c r="E160">
        <v>2</v>
      </c>
      <c r="F160">
        <v>0</v>
      </c>
    </row>
    <row r="161" spans="1:6" x14ac:dyDescent="0.25">
      <c r="A161" t="str">
        <f>VLOOKUP(B161,[1]Sheet2!$A:$B,2,0)</f>
        <v>NLD</v>
      </c>
      <c r="B161" t="s">
        <v>1</v>
      </c>
      <c r="C161">
        <v>1</v>
      </c>
      <c r="D161">
        <v>0</v>
      </c>
      <c r="E161">
        <v>1</v>
      </c>
      <c r="F161">
        <v>2</v>
      </c>
    </row>
    <row r="162" spans="1:6" x14ac:dyDescent="0.25">
      <c r="A162" t="str">
        <f>VLOOKUP(B162,[1]Sheet2!$A:$B,2,0)</f>
        <v>BRA</v>
      </c>
      <c r="B162" t="s">
        <v>37</v>
      </c>
      <c r="C162">
        <v>1</v>
      </c>
      <c r="D162">
        <v>0</v>
      </c>
      <c r="E162">
        <v>0</v>
      </c>
      <c r="F162">
        <v>1</v>
      </c>
    </row>
    <row r="163" spans="1:6" x14ac:dyDescent="0.25">
      <c r="A163" t="str">
        <f>VLOOKUP(B163,[1]Sheet2!$A:$B,2,0)</f>
        <v>SEN</v>
      </c>
      <c r="B163" t="s">
        <v>76</v>
      </c>
      <c r="C163">
        <v>1</v>
      </c>
      <c r="D163">
        <v>0</v>
      </c>
      <c r="E163">
        <v>0</v>
      </c>
      <c r="F163">
        <v>3</v>
      </c>
    </row>
    <row r="164" spans="1:6" x14ac:dyDescent="0.25">
      <c r="A164" t="str">
        <f>VLOOKUP(B164,[1]Sheet2!$A:$B,2,0)</f>
        <v>MEX</v>
      </c>
      <c r="B164" t="s">
        <v>112</v>
      </c>
      <c r="C164">
        <v>1</v>
      </c>
      <c r="D164">
        <v>0</v>
      </c>
      <c r="E164">
        <v>0</v>
      </c>
      <c r="F164">
        <v>2</v>
      </c>
    </row>
    <row r="165" spans="1:6" x14ac:dyDescent="0.25">
      <c r="A165" t="str">
        <f>VLOOKUP(B165,[1]Sheet2!$A:$B,2,0)</f>
        <v>DEU</v>
      </c>
      <c r="B165" t="s">
        <v>120</v>
      </c>
      <c r="C165">
        <v>1</v>
      </c>
      <c r="D165">
        <v>0</v>
      </c>
      <c r="E165">
        <v>0</v>
      </c>
      <c r="F165">
        <v>1</v>
      </c>
    </row>
    <row r="166" spans="1:6" x14ac:dyDescent="0.25">
      <c r="A166" t="str">
        <f>VLOOKUP(B166,[1]Sheet2!$A:$B,2,0)</f>
        <v>POL</v>
      </c>
      <c r="B166" t="s">
        <v>177</v>
      </c>
      <c r="C166">
        <v>1</v>
      </c>
      <c r="D166">
        <v>0</v>
      </c>
      <c r="E166">
        <v>0</v>
      </c>
      <c r="F166">
        <v>2</v>
      </c>
    </row>
    <row r="167" spans="1:6" x14ac:dyDescent="0.25">
      <c r="A167" t="str">
        <f>VLOOKUP(B167,[1]Sheet2!$A:$B,2,0)</f>
        <v>ARE</v>
      </c>
      <c r="B167" t="s">
        <v>4</v>
      </c>
      <c r="C167">
        <v>1</v>
      </c>
      <c r="D167">
        <v>1</v>
      </c>
      <c r="E167">
        <v>0</v>
      </c>
      <c r="F167">
        <v>1</v>
      </c>
    </row>
    <row r="168" spans="1:6" x14ac:dyDescent="0.25">
      <c r="A168" t="str">
        <f>VLOOKUP(B168,[1]Sheet2!$A:$B,2,0)</f>
        <v>NZL</v>
      </c>
      <c r="B168" t="s">
        <v>24</v>
      </c>
      <c r="C168">
        <v>1</v>
      </c>
      <c r="D168">
        <v>3</v>
      </c>
      <c r="E168">
        <v>1</v>
      </c>
      <c r="F168">
        <v>1</v>
      </c>
    </row>
    <row r="169" spans="1:6" x14ac:dyDescent="0.25">
      <c r="A169" t="str">
        <f>VLOOKUP(B169,[1]Sheet2!$A:$B,2,0)</f>
        <v>CHN</v>
      </c>
      <c r="B169" t="s">
        <v>30</v>
      </c>
      <c r="C169">
        <v>1</v>
      </c>
      <c r="D169">
        <v>1</v>
      </c>
      <c r="E169">
        <v>1</v>
      </c>
      <c r="F169">
        <v>1</v>
      </c>
    </row>
    <row r="170" spans="1:6" x14ac:dyDescent="0.25">
      <c r="A170" t="str">
        <f>VLOOKUP(B170,[1]Sheet2!$A:$B,2,0)</f>
        <v>ITA</v>
      </c>
      <c r="B170" t="s">
        <v>45</v>
      </c>
      <c r="C170">
        <v>1</v>
      </c>
      <c r="D170">
        <v>1</v>
      </c>
      <c r="E170">
        <v>3</v>
      </c>
      <c r="F170">
        <v>0</v>
      </c>
    </row>
    <row r="171" spans="1:6" x14ac:dyDescent="0.25">
      <c r="A171" t="str">
        <f>VLOOKUP(B171,[1]Sheet2!$A:$B,2,0)</f>
        <v>GBR</v>
      </c>
      <c r="B171" t="s">
        <v>67</v>
      </c>
      <c r="C171">
        <v>1</v>
      </c>
      <c r="D171">
        <v>0</v>
      </c>
      <c r="E171">
        <v>0</v>
      </c>
      <c r="F171">
        <v>2</v>
      </c>
    </row>
    <row r="172" spans="1:6" x14ac:dyDescent="0.25">
      <c r="A172" t="str">
        <f>VLOOKUP(B172,[1]Sheet2!$A:$B,2,0)</f>
        <v>USA</v>
      </c>
      <c r="B172" t="s">
        <v>82</v>
      </c>
      <c r="C172">
        <v>1</v>
      </c>
      <c r="D172">
        <v>1</v>
      </c>
      <c r="E172">
        <v>0</v>
      </c>
      <c r="F172">
        <v>1</v>
      </c>
    </row>
    <row r="173" spans="1:6" x14ac:dyDescent="0.25">
      <c r="A173" t="str">
        <f>VLOOKUP(B173,[1]Sheet2!$A:$B,2,0)</f>
        <v>HND</v>
      </c>
      <c r="B173" t="s">
        <v>86</v>
      </c>
      <c r="C173">
        <v>1</v>
      </c>
      <c r="D173">
        <v>0</v>
      </c>
      <c r="E173">
        <v>1</v>
      </c>
      <c r="F173">
        <v>2</v>
      </c>
    </row>
    <row r="174" spans="1:6" x14ac:dyDescent="0.25">
      <c r="A174" t="str">
        <f>VLOOKUP(B174,[1]Sheet2!$A:$B,2,0)</f>
        <v>DEU</v>
      </c>
      <c r="B174" t="s">
        <v>100</v>
      </c>
      <c r="C174">
        <v>1</v>
      </c>
      <c r="D174">
        <v>0</v>
      </c>
      <c r="E174">
        <v>0</v>
      </c>
      <c r="F174">
        <v>1</v>
      </c>
    </row>
    <row r="175" spans="1:6" x14ac:dyDescent="0.25">
      <c r="A175" t="str">
        <f>VLOOKUP(B175,[1]Sheet2!$A:$B,2,0)</f>
        <v>BWA</v>
      </c>
      <c r="B175" t="s">
        <v>103</v>
      </c>
      <c r="C175">
        <v>1</v>
      </c>
      <c r="D175">
        <v>0</v>
      </c>
      <c r="E175">
        <v>0</v>
      </c>
      <c r="F175">
        <v>1</v>
      </c>
    </row>
    <row r="176" spans="1:6" x14ac:dyDescent="0.25">
      <c r="A176" t="str">
        <f>VLOOKUP(B176,[1]Sheet2!$A:$B,2,0)</f>
        <v>IND</v>
      </c>
      <c r="B176" t="s">
        <v>136</v>
      </c>
      <c r="C176">
        <v>1</v>
      </c>
      <c r="D176">
        <v>0</v>
      </c>
      <c r="E176">
        <v>1</v>
      </c>
      <c r="F176">
        <v>2</v>
      </c>
    </row>
    <row r="177" spans="1:6" x14ac:dyDescent="0.25">
      <c r="A177" t="str">
        <f>VLOOKUP(B177,[1]Sheet2!$A:$B,2,0)</f>
        <v>DNK</v>
      </c>
      <c r="B177" t="s">
        <v>154</v>
      </c>
      <c r="C177">
        <v>1</v>
      </c>
      <c r="D177">
        <v>0</v>
      </c>
      <c r="E177">
        <v>0</v>
      </c>
      <c r="F177">
        <v>1</v>
      </c>
    </row>
    <row r="178" spans="1:6" x14ac:dyDescent="0.25">
      <c r="A178" t="str">
        <f>VLOOKUP(B178,[1]Sheet2!$A:$B,2,0)</f>
        <v>MYS</v>
      </c>
      <c r="B178" t="s">
        <v>162</v>
      </c>
      <c r="C178">
        <v>1</v>
      </c>
      <c r="D178">
        <v>1</v>
      </c>
      <c r="E178">
        <v>0</v>
      </c>
      <c r="F178">
        <v>2</v>
      </c>
    </row>
    <row r="179" spans="1:6" x14ac:dyDescent="0.25">
      <c r="A179" t="str">
        <f>VLOOKUP(B179,[1]Sheet2!$A:$B,2,0)</f>
        <v>NOR</v>
      </c>
      <c r="B179" t="s">
        <v>224</v>
      </c>
      <c r="C179">
        <v>1</v>
      </c>
      <c r="D179">
        <v>0</v>
      </c>
      <c r="E179">
        <v>0</v>
      </c>
      <c r="F179">
        <v>2</v>
      </c>
    </row>
    <row r="180" spans="1:6" x14ac:dyDescent="0.25">
      <c r="A180" t="str">
        <f>VLOOKUP(B180,[1]Sheet2!$A:$B,2,0)</f>
        <v>LVA</v>
      </c>
      <c r="B180" t="s">
        <v>248</v>
      </c>
      <c r="C180">
        <v>1</v>
      </c>
      <c r="D180">
        <v>4</v>
      </c>
      <c r="E180">
        <v>0</v>
      </c>
      <c r="F180">
        <v>0</v>
      </c>
    </row>
    <row r="181" spans="1:6" x14ac:dyDescent="0.25">
      <c r="A181" t="str">
        <f>VLOOKUP(B181,[1]Sheet2!$A:$B,2,0)</f>
        <v>GBR</v>
      </c>
      <c r="B181" t="s">
        <v>281</v>
      </c>
      <c r="C181">
        <v>1</v>
      </c>
      <c r="D181">
        <v>0</v>
      </c>
      <c r="E181">
        <v>0</v>
      </c>
      <c r="F181">
        <v>1</v>
      </c>
    </row>
    <row r="182" spans="1:6" x14ac:dyDescent="0.25">
      <c r="A182" t="str">
        <f>VLOOKUP(B182,[1]Sheet2!$A:$B,2,0)</f>
        <v>UZB</v>
      </c>
      <c r="B182" t="s">
        <v>301</v>
      </c>
      <c r="C182">
        <v>1</v>
      </c>
      <c r="D182">
        <v>0</v>
      </c>
      <c r="E182">
        <v>2</v>
      </c>
      <c r="F182">
        <v>1</v>
      </c>
    </row>
    <row r="183" spans="1:6" x14ac:dyDescent="0.25">
      <c r="A183" t="str">
        <f>VLOOKUP(B183,[1]Sheet2!$A:$B,2,0)</f>
        <v>SAU</v>
      </c>
      <c r="B183" t="s">
        <v>144</v>
      </c>
      <c r="C183">
        <v>1</v>
      </c>
      <c r="D183">
        <v>1</v>
      </c>
      <c r="E183">
        <v>1</v>
      </c>
      <c r="F183">
        <v>0</v>
      </c>
    </row>
    <row r="184" spans="1:6" x14ac:dyDescent="0.25">
      <c r="A184" t="str">
        <f>VLOOKUP(B184,[1]Sheet2!$A:$B,2,0)</f>
        <v>CHN</v>
      </c>
      <c r="B184" t="s">
        <v>242</v>
      </c>
      <c r="C184">
        <v>2</v>
      </c>
      <c r="D184">
        <v>2</v>
      </c>
      <c r="E184">
        <v>0</v>
      </c>
      <c r="F184">
        <v>0</v>
      </c>
    </row>
    <row r="185" spans="1:6" x14ac:dyDescent="0.25">
      <c r="A185" t="str">
        <f>VLOOKUP(B185,[1]Sheet2!$A:$B,2,0)</f>
        <v>ARG</v>
      </c>
      <c r="B185" t="s">
        <v>74</v>
      </c>
      <c r="C185">
        <v>2</v>
      </c>
      <c r="D185">
        <v>3</v>
      </c>
      <c r="E185">
        <v>0</v>
      </c>
      <c r="F185">
        <v>0</v>
      </c>
    </row>
    <row r="186" spans="1:6" x14ac:dyDescent="0.25">
      <c r="A186" t="str">
        <f>VLOOKUP(B186,[1]Sheet2!$A:$B,2,0)</f>
        <v>CHN</v>
      </c>
      <c r="B186" t="s">
        <v>165</v>
      </c>
      <c r="C186">
        <v>2</v>
      </c>
      <c r="D186">
        <v>3</v>
      </c>
      <c r="E186">
        <v>0</v>
      </c>
      <c r="F186">
        <v>1</v>
      </c>
    </row>
    <row r="187" spans="1:6" x14ac:dyDescent="0.25">
      <c r="A187" t="str">
        <f>VLOOKUP(B187,[1]Sheet2!$A:$B,2,0)</f>
        <v>BEL</v>
      </c>
      <c r="B187" t="s">
        <v>169</v>
      </c>
      <c r="C187">
        <v>2</v>
      </c>
      <c r="D187">
        <v>3</v>
      </c>
      <c r="E187">
        <v>3</v>
      </c>
      <c r="F187">
        <v>0</v>
      </c>
    </row>
    <row r="188" spans="1:6" x14ac:dyDescent="0.25">
      <c r="A188" t="str">
        <f>VLOOKUP(B188,[1]Sheet2!$A:$B,2,0)</f>
        <v>CAN</v>
      </c>
      <c r="B188" t="s">
        <v>95</v>
      </c>
      <c r="C188">
        <v>2</v>
      </c>
      <c r="D188">
        <v>1</v>
      </c>
      <c r="E188">
        <v>1</v>
      </c>
      <c r="F188">
        <v>2</v>
      </c>
    </row>
    <row r="189" spans="1:6" x14ac:dyDescent="0.25">
      <c r="A189" t="str">
        <f>VLOOKUP(B189,[1]Sheet2!$A:$B,2,0)</f>
        <v>VNM</v>
      </c>
      <c r="B189" t="s">
        <v>132</v>
      </c>
      <c r="C189">
        <v>2</v>
      </c>
      <c r="D189">
        <v>3</v>
      </c>
      <c r="E189">
        <v>0</v>
      </c>
      <c r="F189">
        <v>1</v>
      </c>
    </row>
    <row r="190" spans="1:6" x14ac:dyDescent="0.25">
      <c r="A190" t="str">
        <f>VLOOKUP(B190,[1]Sheet2!$A:$B,2,0)</f>
        <v>BHR</v>
      </c>
      <c r="B190" t="s">
        <v>56</v>
      </c>
      <c r="C190">
        <v>2</v>
      </c>
      <c r="D190">
        <v>3</v>
      </c>
      <c r="E190">
        <v>1</v>
      </c>
      <c r="F190">
        <v>0</v>
      </c>
    </row>
    <row r="191" spans="1:6" x14ac:dyDescent="0.25">
      <c r="A191" t="str">
        <f>VLOOKUP(B191,[1]Sheet2!$A:$B,2,0)</f>
        <v>CHN</v>
      </c>
      <c r="B191" t="s">
        <v>62</v>
      </c>
      <c r="C191">
        <v>2</v>
      </c>
      <c r="D191">
        <v>3</v>
      </c>
      <c r="E191">
        <v>0</v>
      </c>
      <c r="F191">
        <v>1</v>
      </c>
    </row>
    <row r="192" spans="1:6" x14ac:dyDescent="0.25">
      <c r="A192" t="str">
        <f>VLOOKUP(B192,[1]Sheet2!$A:$B,2,0)</f>
        <v>IND</v>
      </c>
      <c r="B192" t="s">
        <v>63</v>
      </c>
      <c r="C192">
        <v>2</v>
      </c>
      <c r="D192">
        <v>3</v>
      </c>
      <c r="E192">
        <v>0</v>
      </c>
      <c r="F192">
        <v>0</v>
      </c>
    </row>
    <row r="193" spans="1:6" x14ac:dyDescent="0.25">
      <c r="A193" t="str">
        <f>VLOOKUP(B193,[1]Sheet2!$A:$B,2,0)</f>
        <v>CHN</v>
      </c>
      <c r="B193" t="s">
        <v>160</v>
      </c>
      <c r="C193">
        <v>2</v>
      </c>
      <c r="D193">
        <v>2</v>
      </c>
      <c r="E193">
        <v>0</v>
      </c>
      <c r="F193">
        <v>0</v>
      </c>
    </row>
    <row r="194" spans="1:6" x14ac:dyDescent="0.25">
      <c r="A194" t="str">
        <f>VLOOKUP(B194,[1]Sheet2!$A:$B,2,0)</f>
        <v>USA</v>
      </c>
      <c r="B194" t="s">
        <v>192</v>
      </c>
      <c r="C194">
        <v>2</v>
      </c>
      <c r="D194">
        <v>2</v>
      </c>
      <c r="E194">
        <v>0</v>
      </c>
      <c r="F194">
        <v>0</v>
      </c>
    </row>
    <row r="195" spans="1:6" x14ac:dyDescent="0.25">
      <c r="A195" t="str">
        <f>VLOOKUP(B195,[1]Sheet2!$A:$B,2,0)</f>
        <v>USA</v>
      </c>
      <c r="B195" t="s">
        <v>258</v>
      </c>
      <c r="C195">
        <v>2</v>
      </c>
      <c r="D195">
        <v>1</v>
      </c>
      <c r="E195">
        <v>1</v>
      </c>
      <c r="F195">
        <v>0</v>
      </c>
    </row>
    <row r="196" spans="1:6" x14ac:dyDescent="0.25">
      <c r="A196" t="str">
        <f>VLOOKUP(B196,[1]Sheet2!$A:$B,2,0)</f>
        <v>GEO</v>
      </c>
      <c r="B196" t="s">
        <v>293</v>
      </c>
      <c r="C196">
        <v>2</v>
      </c>
      <c r="D196">
        <v>1</v>
      </c>
      <c r="E196">
        <v>0</v>
      </c>
      <c r="F196">
        <v>0</v>
      </c>
    </row>
    <row r="197" spans="1:6" x14ac:dyDescent="0.25">
      <c r="A197" t="str">
        <f>VLOOKUP(B197,[1]Sheet2!$A:$B,2,0)</f>
        <v>LAO</v>
      </c>
      <c r="B197" t="s">
        <v>310</v>
      </c>
      <c r="C197">
        <v>2</v>
      </c>
      <c r="D197">
        <v>1</v>
      </c>
      <c r="E197">
        <v>0</v>
      </c>
      <c r="F197">
        <v>0</v>
      </c>
    </row>
    <row r="198" spans="1:6" x14ac:dyDescent="0.25">
      <c r="A198" t="str">
        <f>VLOOKUP(B198,[1]Sheet2!$A:$B,2,0)</f>
        <v>MAC</v>
      </c>
      <c r="B198" t="s">
        <v>183</v>
      </c>
      <c r="C198">
        <v>2</v>
      </c>
      <c r="D198">
        <v>0</v>
      </c>
      <c r="E198">
        <v>0</v>
      </c>
      <c r="F198">
        <v>1</v>
      </c>
    </row>
    <row r="199" spans="1:6" x14ac:dyDescent="0.25">
      <c r="A199" t="str">
        <f>VLOOKUP(B199,[1]Sheet2!$A:$B,2,0)</f>
        <v>CHN</v>
      </c>
      <c r="B199" t="s">
        <v>330</v>
      </c>
      <c r="C199">
        <v>2</v>
      </c>
      <c r="D199">
        <v>0</v>
      </c>
      <c r="E199">
        <v>0</v>
      </c>
      <c r="F199">
        <v>1</v>
      </c>
    </row>
    <row r="200" spans="1:6" x14ac:dyDescent="0.25">
      <c r="A200" t="str">
        <f>VLOOKUP(B200,[1]Sheet2!$A:$B,2,0)</f>
        <v>USA</v>
      </c>
      <c r="B200" t="s">
        <v>14</v>
      </c>
      <c r="C200">
        <v>2</v>
      </c>
      <c r="D200">
        <v>1</v>
      </c>
      <c r="E200">
        <v>1</v>
      </c>
      <c r="F200">
        <v>1</v>
      </c>
    </row>
    <row r="201" spans="1:6" x14ac:dyDescent="0.25">
      <c r="A201" t="str">
        <f>VLOOKUP(B201,[1]Sheet2!$A:$B,2,0)</f>
        <v>GBR</v>
      </c>
      <c r="B201" t="s">
        <v>42</v>
      </c>
      <c r="C201">
        <v>2</v>
      </c>
      <c r="D201">
        <v>1</v>
      </c>
      <c r="E201">
        <v>0</v>
      </c>
      <c r="F201">
        <v>0</v>
      </c>
    </row>
    <row r="202" spans="1:6" x14ac:dyDescent="0.25">
      <c r="A202" t="str">
        <f>VLOOKUP(B202,[1]Sheet2!$A:$B,2,0)</f>
        <v>BRA</v>
      </c>
      <c r="B202" t="s">
        <v>55</v>
      </c>
      <c r="C202">
        <v>2</v>
      </c>
      <c r="D202">
        <v>0</v>
      </c>
      <c r="E202">
        <v>0</v>
      </c>
      <c r="F202">
        <v>0</v>
      </c>
    </row>
    <row r="203" spans="1:6" x14ac:dyDescent="0.25">
      <c r="A203" t="str">
        <f>VLOOKUP(B203,[1]Sheet2!$A:$B,2,0)</f>
        <v>MAR</v>
      </c>
      <c r="B203" t="s">
        <v>57</v>
      </c>
      <c r="C203">
        <v>2</v>
      </c>
      <c r="D203">
        <v>3</v>
      </c>
      <c r="E203">
        <v>0</v>
      </c>
      <c r="F203">
        <v>1</v>
      </c>
    </row>
    <row r="204" spans="1:6" x14ac:dyDescent="0.25">
      <c r="A204" t="str">
        <f>VLOOKUP(B204,[1]Sheet2!$A:$B,2,0)</f>
        <v>USA</v>
      </c>
      <c r="B204" t="s">
        <v>71</v>
      </c>
      <c r="C204">
        <v>2</v>
      </c>
      <c r="D204">
        <v>1</v>
      </c>
      <c r="E204">
        <v>1</v>
      </c>
      <c r="F204">
        <v>0</v>
      </c>
    </row>
    <row r="205" spans="1:6" x14ac:dyDescent="0.25">
      <c r="A205" t="str">
        <f>VLOOKUP(B205,[1]Sheet2!$A:$B,2,0)</f>
        <v>USA</v>
      </c>
      <c r="B205" t="s">
        <v>73</v>
      </c>
      <c r="C205">
        <v>2</v>
      </c>
      <c r="D205">
        <v>1</v>
      </c>
      <c r="E205">
        <v>2</v>
      </c>
      <c r="F205">
        <v>0</v>
      </c>
    </row>
    <row r="206" spans="1:6" x14ac:dyDescent="0.25">
      <c r="A206" t="str">
        <f>VLOOKUP(B206,[1]Sheet2!$A:$B,2,0)</f>
        <v>TZA</v>
      </c>
      <c r="B206" t="s">
        <v>79</v>
      </c>
      <c r="C206">
        <v>2</v>
      </c>
      <c r="D206">
        <v>3</v>
      </c>
      <c r="E206">
        <v>0</v>
      </c>
      <c r="F206">
        <v>0</v>
      </c>
    </row>
    <row r="207" spans="1:6" x14ac:dyDescent="0.25">
      <c r="A207" t="str">
        <f>VLOOKUP(B207,[1]Sheet2!$A:$B,2,0)</f>
        <v>USA</v>
      </c>
      <c r="B207" t="s">
        <v>81</v>
      </c>
      <c r="C207">
        <v>2</v>
      </c>
      <c r="D207">
        <v>2</v>
      </c>
      <c r="E207">
        <v>1</v>
      </c>
      <c r="F207">
        <v>0</v>
      </c>
    </row>
    <row r="208" spans="1:6" x14ac:dyDescent="0.25">
      <c r="A208" t="str">
        <f>VLOOKUP(B208,[1]Sheet2!$A:$B,2,0)</f>
        <v>CHN</v>
      </c>
      <c r="B208" t="s">
        <v>89</v>
      </c>
      <c r="C208">
        <v>2</v>
      </c>
      <c r="D208">
        <v>1</v>
      </c>
      <c r="E208">
        <v>0</v>
      </c>
      <c r="F208">
        <v>0</v>
      </c>
    </row>
    <row r="209" spans="1:6" x14ac:dyDescent="0.25">
      <c r="A209" t="str">
        <f>VLOOKUP(B209,[1]Sheet2!$A:$B,2,0)</f>
        <v>SRB</v>
      </c>
      <c r="B209" t="s">
        <v>109</v>
      </c>
      <c r="C209">
        <v>2</v>
      </c>
      <c r="D209">
        <v>1</v>
      </c>
      <c r="E209">
        <v>0</v>
      </c>
      <c r="F209">
        <v>1</v>
      </c>
    </row>
    <row r="210" spans="1:6" x14ac:dyDescent="0.25">
      <c r="A210" t="str">
        <f>VLOOKUP(B210,[1]Sheet2!$A:$B,2,0)</f>
        <v>CHN</v>
      </c>
      <c r="B210" t="s">
        <v>123</v>
      </c>
      <c r="C210">
        <v>2</v>
      </c>
      <c r="D210">
        <v>2</v>
      </c>
      <c r="E210">
        <v>1</v>
      </c>
      <c r="F210">
        <v>0</v>
      </c>
    </row>
    <row r="211" spans="1:6" x14ac:dyDescent="0.25">
      <c r="A211" t="str">
        <f>VLOOKUP(B211,[1]Sheet2!$A:$B,2,0)</f>
        <v>CHN</v>
      </c>
      <c r="B211" t="s">
        <v>133</v>
      </c>
      <c r="C211">
        <v>2</v>
      </c>
      <c r="D211">
        <v>2</v>
      </c>
      <c r="E211">
        <v>1</v>
      </c>
      <c r="F211">
        <v>0</v>
      </c>
    </row>
    <row r="212" spans="1:6" x14ac:dyDescent="0.25">
      <c r="A212" t="str">
        <f>VLOOKUP(B212,[1]Sheet2!$A:$B,2,0)</f>
        <v>CHN</v>
      </c>
      <c r="B212" t="s">
        <v>145</v>
      </c>
      <c r="C212">
        <v>2</v>
      </c>
      <c r="D212">
        <v>2</v>
      </c>
      <c r="E212">
        <v>0</v>
      </c>
      <c r="F212">
        <v>1</v>
      </c>
    </row>
    <row r="213" spans="1:6" x14ac:dyDescent="0.25">
      <c r="A213" t="str">
        <f>VLOOKUP(B213,[1]Sheet2!$A:$B,2,0)</f>
        <v>USA</v>
      </c>
      <c r="B213" t="s">
        <v>153</v>
      </c>
      <c r="C213">
        <v>2</v>
      </c>
      <c r="D213">
        <v>0</v>
      </c>
      <c r="E213">
        <v>0</v>
      </c>
      <c r="F213">
        <v>1</v>
      </c>
    </row>
    <row r="214" spans="1:6" x14ac:dyDescent="0.25">
      <c r="A214" t="str">
        <f>VLOOKUP(B214,[1]Sheet2!$A:$B,2,0)</f>
        <v>NGA</v>
      </c>
      <c r="B214" t="s">
        <v>163</v>
      </c>
      <c r="C214">
        <v>2</v>
      </c>
      <c r="D214">
        <v>2</v>
      </c>
      <c r="E214">
        <v>0</v>
      </c>
      <c r="F214">
        <v>1</v>
      </c>
    </row>
    <row r="215" spans="1:6" x14ac:dyDescent="0.25">
      <c r="A215" t="str">
        <f>VLOOKUP(B215,[1]Sheet2!$A:$B,2,0)</f>
        <v>CYP</v>
      </c>
      <c r="B215" t="s">
        <v>173</v>
      </c>
      <c r="C215">
        <v>2</v>
      </c>
      <c r="D215">
        <v>2</v>
      </c>
      <c r="E215">
        <v>1</v>
      </c>
      <c r="F215">
        <v>0</v>
      </c>
    </row>
    <row r="216" spans="1:6" x14ac:dyDescent="0.25">
      <c r="A216" t="str">
        <f>VLOOKUP(B216,[1]Sheet2!$A:$B,2,0)</f>
        <v>ESP</v>
      </c>
      <c r="B216" t="s">
        <v>185</v>
      </c>
      <c r="C216">
        <v>2</v>
      </c>
      <c r="D216">
        <v>0</v>
      </c>
      <c r="E216">
        <v>0</v>
      </c>
      <c r="F216">
        <v>1</v>
      </c>
    </row>
    <row r="217" spans="1:6" x14ac:dyDescent="0.25">
      <c r="A217" t="str">
        <f>VLOOKUP(B217,[1]Sheet2!$A:$B,2,0)</f>
        <v>USA</v>
      </c>
      <c r="B217" t="s">
        <v>198</v>
      </c>
      <c r="C217">
        <v>2</v>
      </c>
      <c r="D217">
        <v>1</v>
      </c>
      <c r="E217">
        <v>0</v>
      </c>
      <c r="F217">
        <v>1</v>
      </c>
    </row>
    <row r="218" spans="1:6" x14ac:dyDescent="0.25">
      <c r="A218" t="str">
        <f>VLOOKUP(B218,[1]Sheet2!$A:$B,2,0)</f>
        <v>GBR</v>
      </c>
      <c r="B218" t="s">
        <v>215</v>
      </c>
      <c r="C218">
        <v>2</v>
      </c>
      <c r="D218">
        <v>1</v>
      </c>
      <c r="E218">
        <v>0</v>
      </c>
      <c r="F218">
        <v>0</v>
      </c>
    </row>
    <row r="219" spans="1:6" x14ac:dyDescent="0.25">
      <c r="A219" t="str">
        <f>VLOOKUP(B219,[1]Sheet2!$A:$B,2,0)</f>
        <v>DEU</v>
      </c>
      <c r="B219" t="s">
        <v>220</v>
      </c>
      <c r="C219">
        <v>2</v>
      </c>
      <c r="D219">
        <v>0</v>
      </c>
      <c r="E219">
        <v>0</v>
      </c>
      <c r="F219">
        <v>1</v>
      </c>
    </row>
    <row r="220" spans="1:6" x14ac:dyDescent="0.25">
      <c r="A220" t="str">
        <f>VLOOKUP(B220,[1]Sheet2!$A:$B,2,0)</f>
        <v>USA</v>
      </c>
      <c r="B220" t="s">
        <v>221</v>
      </c>
      <c r="C220">
        <v>2</v>
      </c>
      <c r="D220">
        <v>1</v>
      </c>
      <c r="E220">
        <v>0</v>
      </c>
      <c r="F220">
        <v>1</v>
      </c>
    </row>
    <row r="221" spans="1:6" x14ac:dyDescent="0.25">
      <c r="A221" t="str">
        <f>VLOOKUP(B221,[1]Sheet2!$A:$B,2,0)</f>
        <v>USA</v>
      </c>
      <c r="B221" t="s">
        <v>247</v>
      </c>
      <c r="C221">
        <v>2</v>
      </c>
      <c r="D221">
        <v>1</v>
      </c>
      <c r="E221">
        <v>1</v>
      </c>
      <c r="F221">
        <v>0</v>
      </c>
    </row>
    <row r="222" spans="1:6" x14ac:dyDescent="0.25">
      <c r="A222" t="str">
        <f>VLOOKUP(B222,[1]Sheet2!$A:$B,2,0)</f>
        <v>USA</v>
      </c>
      <c r="B222" t="s">
        <v>264</v>
      </c>
      <c r="C222">
        <v>2</v>
      </c>
      <c r="D222">
        <v>3</v>
      </c>
      <c r="E222">
        <v>0</v>
      </c>
      <c r="F222">
        <v>0</v>
      </c>
    </row>
    <row r="223" spans="1:6" x14ac:dyDescent="0.25">
      <c r="A223" t="str">
        <f>VLOOKUP(B223,[1]Sheet2!$A:$B,2,0)</f>
        <v>BOL</v>
      </c>
      <c r="B223" t="s">
        <v>265</v>
      </c>
      <c r="C223">
        <v>2</v>
      </c>
      <c r="D223">
        <v>0</v>
      </c>
      <c r="E223">
        <v>0</v>
      </c>
      <c r="F223">
        <v>1</v>
      </c>
    </row>
    <row r="224" spans="1:6" x14ac:dyDescent="0.25">
      <c r="A224" t="str">
        <f>VLOOKUP(B224,[1]Sheet2!$A:$B,2,0)</f>
        <v>CHL</v>
      </c>
      <c r="B224" t="s">
        <v>267</v>
      </c>
      <c r="C224">
        <v>2</v>
      </c>
      <c r="D224">
        <v>1</v>
      </c>
      <c r="E224">
        <v>0</v>
      </c>
      <c r="F224">
        <v>1</v>
      </c>
    </row>
    <row r="225" spans="1:6" x14ac:dyDescent="0.25">
      <c r="A225" t="str">
        <f>VLOOKUP(B225,[1]Sheet2!$A:$B,2,0)</f>
        <v>DOM</v>
      </c>
      <c r="B225" t="s">
        <v>268</v>
      </c>
      <c r="C225">
        <v>2</v>
      </c>
      <c r="D225">
        <v>2</v>
      </c>
      <c r="E225">
        <v>1</v>
      </c>
      <c r="F225">
        <v>0</v>
      </c>
    </row>
    <row r="226" spans="1:6" x14ac:dyDescent="0.25">
      <c r="A226" t="str">
        <f>VLOOKUP(B226,[1]Sheet2!$A:$B,2,0)</f>
        <v>CHN</v>
      </c>
      <c r="B226" t="s">
        <v>277</v>
      </c>
      <c r="C226">
        <v>2</v>
      </c>
      <c r="D226">
        <v>1</v>
      </c>
      <c r="E226">
        <v>0</v>
      </c>
      <c r="F226">
        <v>0</v>
      </c>
    </row>
    <row r="227" spans="1:6" x14ac:dyDescent="0.25">
      <c r="A227" t="str">
        <f>VLOOKUP(B227,[1]Sheet2!$A:$B,2,0)</f>
        <v>DEU</v>
      </c>
      <c r="B227" t="s">
        <v>283</v>
      </c>
      <c r="C227">
        <v>2</v>
      </c>
      <c r="D227">
        <v>0</v>
      </c>
      <c r="E227">
        <v>1</v>
      </c>
      <c r="F227">
        <v>0</v>
      </c>
    </row>
    <row r="228" spans="1:6" x14ac:dyDescent="0.25">
      <c r="A228" t="str">
        <f>VLOOKUP(B228,[1]Sheet2!$A:$B,2,0)</f>
        <v>CHN</v>
      </c>
      <c r="B228" t="s">
        <v>295</v>
      </c>
      <c r="C228">
        <v>2</v>
      </c>
      <c r="D228">
        <v>2</v>
      </c>
      <c r="E228">
        <v>0</v>
      </c>
      <c r="F228">
        <v>1</v>
      </c>
    </row>
    <row r="229" spans="1:6" x14ac:dyDescent="0.25">
      <c r="A229" t="str">
        <f>VLOOKUP(B229,[1]Sheet2!$A:$B,2,0)</f>
        <v>USA</v>
      </c>
      <c r="B229" t="s">
        <v>303</v>
      </c>
      <c r="C229">
        <v>2</v>
      </c>
      <c r="D229">
        <v>1</v>
      </c>
      <c r="E229">
        <v>0</v>
      </c>
      <c r="F229">
        <v>1</v>
      </c>
    </row>
    <row r="230" spans="1:6" x14ac:dyDescent="0.25">
      <c r="A230" t="str">
        <f>VLOOKUP(B230,[1]Sheet2!$A:$B,2,0)</f>
        <v>CAN</v>
      </c>
      <c r="B230" t="s">
        <v>319</v>
      </c>
      <c r="C230">
        <v>2</v>
      </c>
      <c r="D230">
        <v>0</v>
      </c>
      <c r="E230">
        <v>0</v>
      </c>
      <c r="F230">
        <v>1</v>
      </c>
    </row>
    <row r="231" spans="1:6" x14ac:dyDescent="0.25">
      <c r="A231" t="str">
        <f>VLOOKUP(B231,[1]Sheet2!$A:$B,2,0)</f>
        <v>CHN</v>
      </c>
      <c r="B231" t="s">
        <v>329</v>
      </c>
      <c r="C231">
        <v>2</v>
      </c>
      <c r="D231">
        <v>2</v>
      </c>
      <c r="E231">
        <v>1</v>
      </c>
      <c r="F231">
        <v>0</v>
      </c>
    </row>
    <row r="232" spans="1:6" x14ac:dyDescent="0.25">
      <c r="A232" t="str">
        <f>VLOOKUP(B232,[1]Sheet2!$A:$B,2,0)</f>
        <v>BEL</v>
      </c>
      <c r="B232" t="s">
        <v>19</v>
      </c>
      <c r="C232">
        <v>2</v>
      </c>
      <c r="D232">
        <v>1</v>
      </c>
      <c r="E232">
        <v>1</v>
      </c>
      <c r="F232">
        <v>0</v>
      </c>
    </row>
    <row r="233" spans="1:6" x14ac:dyDescent="0.25">
      <c r="A233" t="str">
        <f>VLOOKUP(B233,[1]Sheet2!$A:$B,2,0)</f>
        <v>MNE</v>
      </c>
      <c r="B233" t="s">
        <v>232</v>
      </c>
      <c r="C233">
        <v>2</v>
      </c>
      <c r="D233">
        <v>0</v>
      </c>
      <c r="E233">
        <v>2</v>
      </c>
      <c r="F233">
        <v>0</v>
      </c>
    </row>
    <row r="234" spans="1:6" x14ac:dyDescent="0.25">
      <c r="A234" t="str">
        <f>VLOOKUP(B234,[1]Sheet2!$A:$B,2,0)</f>
        <v>ECU</v>
      </c>
      <c r="B234" t="s">
        <v>244</v>
      </c>
      <c r="C234">
        <v>2</v>
      </c>
      <c r="D234">
        <v>1</v>
      </c>
      <c r="E234">
        <v>2</v>
      </c>
      <c r="F234">
        <v>0</v>
      </c>
    </row>
    <row r="235" spans="1:6" x14ac:dyDescent="0.25">
      <c r="A235" t="str">
        <f>VLOOKUP(B235,[1]Sheet2!$A:$B,2,0)</f>
        <v>ESP</v>
      </c>
      <c r="B235" t="s">
        <v>273</v>
      </c>
      <c r="C235">
        <v>2</v>
      </c>
      <c r="D235">
        <v>3</v>
      </c>
      <c r="E235">
        <v>0</v>
      </c>
      <c r="F235">
        <v>0</v>
      </c>
    </row>
    <row r="236" spans="1:6" x14ac:dyDescent="0.25">
      <c r="A236" t="str">
        <f>VLOOKUP(B236,[1]Sheet2!$A:$B,2,0)</f>
        <v>GRC</v>
      </c>
      <c r="B236" t="s">
        <v>23</v>
      </c>
      <c r="C236">
        <v>2</v>
      </c>
      <c r="D236">
        <v>0</v>
      </c>
      <c r="E236">
        <v>1</v>
      </c>
      <c r="F236">
        <v>1</v>
      </c>
    </row>
    <row r="237" spans="1:6" x14ac:dyDescent="0.25">
      <c r="A237" t="str">
        <f>VLOOKUP(B237,[1]Sheet2!$A:$B,2,0)</f>
        <v>CHN</v>
      </c>
      <c r="B237" t="s">
        <v>61</v>
      </c>
      <c r="C237">
        <v>2</v>
      </c>
      <c r="D237">
        <v>1</v>
      </c>
      <c r="E237">
        <v>1</v>
      </c>
      <c r="F237">
        <v>1</v>
      </c>
    </row>
    <row r="238" spans="1:6" x14ac:dyDescent="0.25">
      <c r="A238" t="str">
        <f>VLOOKUP(B238,[1]Sheet2!$A:$B,2,0)</f>
        <v>GBR</v>
      </c>
      <c r="B238" t="s">
        <v>2</v>
      </c>
      <c r="C238">
        <v>2</v>
      </c>
      <c r="D238">
        <v>2</v>
      </c>
      <c r="E238">
        <v>0</v>
      </c>
      <c r="F238">
        <v>1</v>
      </c>
    </row>
    <row r="239" spans="1:6" x14ac:dyDescent="0.25">
      <c r="A239" t="str">
        <f>VLOOKUP(B239,[1]Sheet2!$A:$B,2,0)</f>
        <v>PRY</v>
      </c>
      <c r="B239" t="s">
        <v>22</v>
      </c>
      <c r="C239">
        <v>2</v>
      </c>
      <c r="D239">
        <v>2</v>
      </c>
      <c r="E239">
        <v>0</v>
      </c>
      <c r="F239">
        <v>2</v>
      </c>
    </row>
    <row r="240" spans="1:6" x14ac:dyDescent="0.25">
      <c r="A240" t="str">
        <f>VLOOKUP(B240,[1]Sheet2!$A:$B,2,0)</f>
        <v>USA</v>
      </c>
      <c r="B240" t="s">
        <v>80</v>
      </c>
      <c r="C240">
        <v>2</v>
      </c>
      <c r="D240">
        <v>1</v>
      </c>
      <c r="E240">
        <v>1</v>
      </c>
      <c r="F240">
        <v>1</v>
      </c>
    </row>
    <row r="241" spans="1:6" x14ac:dyDescent="0.25">
      <c r="A241" t="str">
        <f>VLOOKUP(B241,[1]Sheet2!$A:$B,2,0)</f>
        <v>GTM</v>
      </c>
      <c r="B241" t="s">
        <v>114</v>
      </c>
      <c r="C241">
        <v>2</v>
      </c>
      <c r="D241">
        <v>1</v>
      </c>
      <c r="E241">
        <v>1</v>
      </c>
      <c r="F241">
        <v>0</v>
      </c>
    </row>
    <row r="242" spans="1:6" x14ac:dyDescent="0.25">
      <c r="A242" t="str">
        <f>VLOOKUP(B242,[1]Sheet2!$A:$B,2,0)</f>
        <v>PAK</v>
      </c>
      <c r="B242" t="s">
        <v>150</v>
      </c>
      <c r="C242">
        <v>2</v>
      </c>
      <c r="D242">
        <v>2</v>
      </c>
      <c r="E242">
        <v>0</v>
      </c>
      <c r="F242">
        <v>1</v>
      </c>
    </row>
    <row r="243" spans="1:6" x14ac:dyDescent="0.25">
      <c r="A243" t="str">
        <f>VLOOKUP(B243,[1]Sheet2!$A:$B,2,0)</f>
        <v>ESP</v>
      </c>
      <c r="B243" t="s">
        <v>184</v>
      </c>
      <c r="C243">
        <v>2</v>
      </c>
      <c r="D243">
        <v>2</v>
      </c>
      <c r="E243">
        <v>0</v>
      </c>
      <c r="F243">
        <v>0</v>
      </c>
    </row>
    <row r="244" spans="1:6" x14ac:dyDescent="0.25">
      <c r="A244" t="str">
        <f>VLOOKUP(B244,[1]Sheet2!$A:$B,2,0)</f>
        <v>URY</v>
      </c>
      <c r="B244" t="s">
        <v>200</v>
      </c>
      <c r="C244">
        <v>2</v>
      </c>
      <c r="D244">
        <v>1</v>
      </c>
      <c r="E244">
        <v>1</v>
      </c>
      <c r="F244">
        <v>1</v>
      </c>
    </row>
    <row r="245" spans="1:6" x14ac:dyDescent="0.25">
      <c r="A245" t="str">
        <f>VLOOKUP(B245,[1]Sheet2!$A:$B,2,0)</f>
        <v>CAN</v>
      </c>
      <c r="B245" t="s">
        <v>225</v>
      </c>
      <c r="C245">
        <v>2</v>
      </c>
      <c r="D245">
        <v>2</v>
      </c>
      <c r="E245">
        <v>1</v>
      </c>
      <c r="F245">
        <v>0</v>
      </c>
    </row>
    <row r="246" spans="1:6" x14ac:dyDescent="0.25">
      <c r="A246" t="str">
        <f>VLOOKUP(B246,[1]Sheet2!$A:$B,2,0)</f>
        <v>USA</v>
      </c>
      <c r="B246" t="s">
        <v>253</v>
      </c>
      <c r="C246">
        <v>2</v>
      </c>
      <c r="D246">
        <v>0</v>
      </c>
      <c r="E246">
        <v>0</v>
      </c>
      <c r="F246">
        <v>2</v>
      </c>
    </row>
    <row r="247" spans="1:6" x14ac:dyDescent="0.25">
      <c r="A247" t="str">
        <f>VLOOKUP(B247,[1]Sheet2!$A:$B,2,0)</f>
        <v>ESP</v>
      </c>
      <c r="B247" t="s">
        <v>312</v>
      </c>
      <c r="C247">
        <v>2</v>
      </c>
      <c r="D247">
        <v>0</v>
      </c>
      <c r="E247">
        <v>1</v>
      </c>
      <c r="F247">
        <v>1</v>
      </c>
    </row>
    <row r="248" spans="1:6" x14ac:dyDescent="0.25">
      <c r="A248" t="str">
        <f>VLOOKUP(B248,[1]Sheet2!$A:$B,2,0)</f>
        <v>USA</v>
      </c>
      <c r="B248" t="s">
        <v>334</v>
      </c>
      <c r="C248">
        <v>2</v>
      </c>
      <c r="D248">
        <v>0</v>
      </c>
      <c r="E248">
        <v>0</v>
      </c>
      <c r="F248">
        <v>1</v>
      </c>
    </row>
    <row r="249" spans="1:6" x14ac:dyDescent="0.25">
      <c r="A249" t="str">
        <f>VLOOKUP(B249,[1]Sheet2!$A:$B,2,0)</f>
        <v>SWE</v>
      </c>
      <c r="B249" t="s">
        <v>335</v>
      </c>
      <c r="C249">
        <v>2</v>
      </c>
      <c r="D249">
        <v>1</v>
      </c>
      <c r="E249">
        <v>0</v>
      </c>
      <c r="F249">
        <v>2</v>
      </c>
    </row>
    <row r="250" spans="1:6" x14ac:dyDescent="0.25">
      <c r="A250" t="str">
        <f>VLOOKUP(B250,[1]Sheet2!$A:$B,2,0)</f>
        <v>KEN</v>
      </c>
      <c r="B250" t="s">
        <v>206</v>
      </c>
      <c r="C250">
        <v>2</v>
      </c>
      <c r="D250">
        <v>2</v>
      </c>
      <c r="E250">
        <v>1</v>
      </c>
      <c r="F250">
        <v>0</v>
      </c>
    </row>
    <row r="251" spans="1:6" x14ac:dyDescent="0.25">
      <c r="A251" t="str">
        <f>VLOOKUP(B251,[1]Sheet2!$A:$B,2,0)</f>
        <v>QAT</v>
      </c>
      <c r="B251" t="s">
        <v>7</v>
      </c>
      <c r="C251">
        <v>2</v>
      </c>
      <c r="D251">
        <v>1</v>
      </c>
      <c r="E251">
        <v>0</v>
      </c>
      <c r="F251">
        <v>1</v>
      </c>
    </row>
    <row r="252" spans="1:6" x14ac:dyDescent="0.25">
      <c r="A252" t="str">
        <f>VLOOKUP(B252,[1]Sheet2!$A:$B,2,0)</f>
        <v>USA</v>
      </c>
      <c r="B252" t="s">
        <v>41</v>
      </c>
      <c r="C252">
        <v>2</v>
      </c>
      <c r="D252">
        <v>0</v>
      </c>
      <c r="E252">
        <v>0</v>
      </c>
      <c r="F252">
        <v>2</v>
      </c>
    </row>
    <row r="253" spans="1:6" x14ac:dyDescent="0.25">
      <c r="A253" t="str">
        <f>VLOOKUP(B253,[1]Sheet2!$A:$B,2,0)</f>
        <v>BEL</v>
      </c>
      <c r="B253" t="s">
        <v>51</v>
      </c>
      <c r="C253">
        <v>2</v>
      </c>
      <c r="D253">
        <v>0</v>
      </c>
      <c r="E253">
        <v>0</v>
      </c>
      <c r="F253">
        <v>1</v>
      </c>
    </row>
    <row r="254" spans="1:6" x14ac:dyDescent="0.25">
      <c r="A254" t="str">
        <f>VLOOKUP(B254,[1]Sheet2!$A:$B,2,0)</f>
        <v>ROU</v>
      </c>
      <c r="B254" t="s">
        <v>52</v>
      </c>
      <c r="C254">
        <v>2</v>
      </c>
      <c r="D254">
        <v>2</v>
      </c>
      <c r="E254">
        <v>0</v>
      </c>
      <c r="F254">
        <v>0</v>
      </c>
    </row>
    <row r="255" spans="1:6" x14ac:dyDescent="0.25">
      <c r="A255" t="str">
        <f>VLOOKUP(B255,[1]Sheet2!$A:$B,2,0)</f>
        <v>BRA</v>
      </c>
      <c r="B255" t="s">
        <v>75</v>
      </c>
      <c r="C255">
        <v>2</v>
      </c>
      <c r="D255">
        <v>0</v>
      </c>
      <c r="E255">
        <v>0</v>
      </c>
      <c r="F255">
        <v>0</v>
      </c>
    </row>
    <row r="256" spans="1:6" x14ac:dyDescent="0.25">
      <c r="A256" t="str">
        <f>VLOOKUP(B256,[1]Sheet2!$A:$B,2,0)</f>
        <v>MYS</v>
      </c>
      <c r="B256" t="s">
        <v>146</v>
      </c>
      <c r="C256">
        <v>2</v>
      </c>
      <c r="D256">
        <v>0</v>
      </c>
      <c r="E256">
        <v>0</v>
      </c>
      <c r="F256">
        <v>0</v>
      </c>
    </row>
    <row r="257" spans="1:6" x14ac:dyDescent="0.25">
      <c r="A257" t="str">
        <f>VLOOKUP(B257,[1]Sheet2!$A:$B,2,0)</f>
        <v>GBR</v>
      </c>
      <c r="B257" t="s">
        <v>187</v>
      </c>
      <c r="C257">
        <v>2</v>
      </c>
      <c r="D257">
        <v>3</v>
      </c>
      <c r="E257">
        <v>0</v>
      </c>
      <c r="F257">
        <v>1</v>
      </c>
    </row>
    <row r="258" spans="1:6" x14ac:dyDescent="0.25">
      <c r="A258" t="str">
        <f>VLOOKUP(B258,[1]Sheet2!$A:$B,2,0)</f>
        <v>USA</v>
      </c>
      <c r="B258" t="s">
        <v>226</v>
      </c>
      <c r="C258">
        <v>2</v>
      </c>
      <c r="D258">
        <v>0</v>
      </c>
      <c r="E258">
        <v>0</v>
      </c>
      <c r="F258">
        <v>1</v>
      </c>
    </row>
    <row r="259" spans="1:6" x14ac:dyDescent="0.25">
      <c r="A259" t="str">
        <f>VLOOKUP(B259,[1]Sheet2!$A:$B,2,0)</f>
        <v>SAU</v>
      </c>
      <c r="B259" t="s">
        <v>250</v>
      </c>
      <c r="C259">
        <v>2</v>
      </c>
      <c r="D259">
        <v>0</v>
      </c>
      <c r="E259">
        <v>0</v>
      </c>
      <c r="F259">
        <v>1</v>
      </c>
    </row>
    <row r="260" spans="1:6" x14ac:dyDescent="0.25">
      <c r="A260" t="str">
        <f>VLOOKUP(B260,[1]Sheet2!$A:$B,2,0)</f>
        <v>AZE</v>
      </c>
      <c r="B260" t="s">
        <v>26</v>
      </c>
      <c r="C260">
        <v>2</v>
      </c>
      <c r="D260">
        <v>1</v>
      </c>
      <c r="E260">
        <v>0</v>
      </c>
      <c r="F260">
        <v>0</v>
      </c>
    </row>
    <row r="261" spans="1:6" x14ac:dyDescent="0.25">
      <c r="A261" t="str">
        <f>VLOOKUP(B261,[1]Sheet2!$A:$B,2,0)</f>
        <v>UGA</v>
      </c>
      <c r="B261" t="s">
        <v>148</v>
      </c>
      <c r="C261">
        <v>2</v>
      </c>
      <c r="D261">
        <v>0</v>
      </c>
      <c r="E261">
        <v>1</v>
      </c>
      <c r="F261">
        <v>0</v>
      </c>
    </row>
    <row r="262" spans="1:6" x14ac:dyDescent="0.25">
      <c r="A262" t="str">
        <f>VLOOKUP(B262,[1]Sheet2!$A:$B,2,0)</f>
        <v>USA</v>
      </c>
      <c r="B262" t="s">
        <v>122</v>
      </c>
      <c r="C262">
        <v>3</v>
      </c>
      <c r="D262">
        <v>2</v>
      </c>
      <c r="E262">
        <v>0</v>
      </c>
      <c r="F262">
        <v>0</v>
      </c>
    </row>
    <row r="263" spans="1:6" x14ac:dyDescent="0.25">
      <c r="A263" t="str">
        <f>VLOOKUP(B263,[1]Sheet2!$A:$B,2,0)</f>
        <v>CHN</v>
      </c>
      <c r="B263" t="s">
        <v>60</v>
      </c>
      <c r="C263">
        <v>3</v>
      </c>
      <c r="D263">
        <v>1</v>
      </c>
      <c r="E263">
        <v>0</v>
      </c>
      <c r="F263">
        <v>1</v>
      </c>
    </row>
    <row r="264" spans="1:6" x14ac:dyDescent="0.25">
      <c r="A264" t="str">
        <f>VLOOKUP(B264,[1]Sheet2!$A:$B,2,0)</f>
        <v>CHN</v>
      </c>
      <c r="B264" t="s">
        <v>34</v>
      </c>
      <c r="C264">
        <v>3</v>
      </c>
      <c r="D264">
        <v>1</v>
      </c>
      <c r="E264">
        <v>0</v>
      </c>
      <c r="F264">
        <v>1</v>
      </c>
    </row>
    <row r="265" spans="1:6" x14ac:dyDescent="0.25">
      <c r="A265" t="str">
        <f>VLOOKUP(B265,[1]Sheet2!$A:$B,2,0)</f>
        <v>ARG</v>
      </c>
      <c r="B265" t="s">
        <v>54</v>
      </c>
      <c r="C265">
        <v>3</v>
      </c>
      <c r="D265">
        <v>3</v>
      </c>
      <c r="E265">
        <v>1</v>
      </c>
      <c r="F265">
        <v>0</v>
      </c>
    </row>
    <row r="266" spans="1:6" x14ac:dyDescent="0.25">
      <c r="A266" t="str">
        <f>VLOOKUP(B266,[1]Sheet2!$A:$B,2,0)</f>
        <v>GAB</v>
      </c>
      <c r="B266" t="s">
        <v>157</v>
      </c>
      <c r="C266">
        <v>3</v>
      </c>
      <c r="D266">
        <v>2</v>
      </c>
      <c r="E266">
        <v>0</v>
      </c>
      <c r="F266">
        <v>0</v>
      </c>
    </row>
    <row r="267" spans="1:6" x14ac:dyDescent="0.25">
      <c r="A267" t="str">
        <f>VLOOKUP(B267,[1]Sheet2!$A:$B,2,0)</f>
        <v>CHN</v>
      </c>
      <c r="B267" t="s">
        <v>218</v>
      </c>
      <c r="C267">
        <v>3</v>
      </c>
      <c r="D267">
        <v>2</v>
      </c>
      <c r="E267">
        <v>0</v>
      </c>
      <c r="F267">
        <v>0</v>
      </c>
    </row>
    <row r="268" spans="1:6" x14ac:dyDescent="0.25">
      <c r="A268" t="str">
        <f>VLOOKUP(B268,[1]Sheet2!$A:$B,2,0)</f>
        <v>CAN</v>
      </c>
      <c r="B268" t="s">
        <v>111</v>
      </c>
      <c r="C268">
        <v>3</v>
      </c>
      <c r="D268">
        <v>1</v>
      </c>
      <c r="E268">
        <v>0</v>
      </c>
      <c r="F268">
        <v>0</v>
      </c>
    </row>
    <row r="269" spans="1:6" x14ac:dyDescent="0.25">
      <c r="A269" t="str">
        <f>VLOOKUP(B269,[1]Sheet2!$A:$B,2,0)</f>
        <v>USA</v>
      </c>
      <c r="B269" t="s">
        <v>101</v>
      </c>
      <c r="C269">
        <v>3</v>
      </c>
      <c r="D269">
        <v>2</v>
      </c>
      <c r="E269">
        <v>0</v>
      </c>
      <c r="F269">
        <v>1</v>
      </c>
    </row>
    <row r="270" spans="1:6" x14ac:dyDescent="0.25">
      <c r="A270" t="str">
        <f>VLOOKUP(B270,[1]Sheet2!$A:$B,2,0)</f>
        <v>CHN</v>
      </c>
      <c r="B270" t="s">
        <v>118</v>
      </c>
      <c r="C270">
        <v>3</v>
      </c>
      <c r="D270">
        <v>0</v>
      </c>
      <c r="E270">
        <v>1</v>
      </c>
      <c r="F270">
        <v>1</v>
      </c>
    </row>
    <row r="271" spans="1:6" x14ac:dyDescent="0.25">
      <c r="A271" t="str">
        <f>VLOOKUP(B271,[1]Sheet2!$A:$B,2,0)</f>
        <v>CHN</v>
      </c>
      <c r="B271" t="s">
        <v>208</v>
      </c>
      <c r="C271">
        <v>3</v>
      </c>
      <c r="D271">
        <v>1</v>
      </c>
      <c r="E271">
        <v>0</v>
      </c>
      <c r="F271">
        <v>1</v>
      </c>
    </row>
    <row r="272" spans="1:6" x14ac:dyDescent="0.25">
      <c r="A272" t="str">
        <f>VLOOKUP(B272,[1]Sheet2!$A:$B,2,0)</f>
        <v>USA</v>
      </c>
      <c r="B272" t="s">
        <v>255</v>
      </c>
      <c r="C272">
        <v>3</v>
      </c>
      <c r="D272">
        <v>1</v>
      </c>
      <c r="E272">
        <v>0</v>
      </c>
      <c r="F272">
        <v>1</v>
      </c>
    </row>
    <row r="273" spans="1:6" x14ac:dyDescent="0.25">
      <c r="A273" t="str">
        <f>VLOOKUP(B273,[1]Sheet2!$A:$B,2,0)</f>
        <v>USA</v>
      </c>
      <c r="B273" t="s">
        <v>284</v>
      </c>
      <c r="C273">
        <v>3</v>
      </c>
      <c r="D273">
        <v>0</v>
      </c>
      <c r="E273">
        <v>1</v>
      </c>
      <c r="F273">
        <v>1</v>
      </c>
    </row>
    <row r="274" spans="1:6" x14ac:dyDescent="0.25">
      <c r="A274" t="str">
        <f>VLOOKUP(B274,[1]Sheet2!$A:$B,2,0)</f>
        <v>VEN</v>
      </c>
      <c r="B274" t="s">
        <v>85</v>
      </c>
      <c r="C274">
        <v>3</v>
      </c>
      <c r="D274">
        <v>2</v>
      </c>
      <c r="E274">
        <v>0</v>
      </c>
      <c r="F274">
        <v>0</v>
      </c>
    </row>
    <row r="275" spans="1:6" x14ac:dyDescent="0.25">
      <c r="A275" t="str">
        <f>VLOOKUP(B275,[1]Sheet2!$A:$B,2,0)</f>
        <v>MEX</v>
      </c>
      <c r="B275" t="s">
        <v>87</v>
      </c>
      <c r="C275">
        <v>3</v>
      </c>
      <c r="D275">
        <v>3</v>
      </c>
      <c r="E275">
        <v>1</v>
      </c>
      <c r="F275">
        <v>1</v>
      </c>
    </row>
    <row r="276" spans="1:6" x14ac:dyDescent="0.25">
      <c r="A276" t="str">
        <f>VLOOKUP(B276,[1]Sheet2!$A:$B,2,0)</f>
        <v>CHN</v>
      </c>
      <c r="B276" t="s">
        <v>99</v>
      </c>
      <c r="C276">
        <v>3</v>
      </c>
      <c r="D276">
        <v>3</v>
      </c>
      <c r="E276">
        <v>1</v>
      </c>
      <c r="F276">
        <v>0</v>
      </c>
    </row>
    <row r="277" spans="1:6" x14ac:dyDescent="0.25">
      <c r="A277" t="str">
        <f>VLOOKUP(B277,[1]Sheet2!$A:$B,2,0)</f>
        <v>CHN</v>
      </c>
      <c r="B277" t="s">
        <v>113</v>
      </c>
      <c r="C277">
        <v>3</v>
      </c>
      <c r="D277">
        <v>0</v>
      </c>
      <c r="E277">
        <v>1</v>
      </c>
      <c r="F277">
        <v>1</v>
      </c>
    </row>
    <row r="278" spans="1:6" x14ac:dyDescent="0.25">
      <c r="A278" t="str">
        <f>VLOOKUP(B278,[1]Sheet2!$A:$B,2,0)</f>
        <v>ZWE</v>
      </c>
      <c r="B278" t="s">
        <v>125</v>
      </c>
      <c r="C278">
        <v>3</v>
      </c>
      <c r="D278">
        <v>1</v>
      </c>
      <c r="E278">
        <v>3</v>
      </c>
      <c r="F278">
        <v>0</v>
      </c>
    </row>
    <row r="279" spans="1:6" x14ac:dyDescent="0.25">
      <c r="A279" t="str">
        <f>VLOOKUP(B279,[1]Sheet2!$A:$B,2,0)</f>
        <v>USA</v>
      </c>
      <c r="B279" t="s">
        <v>127</v>
      </c>
      <c r="C279">
        <v>3</v>
      </c>
      <c r="D279">
        <v>2</v>
      </c>
      <c r="E279">
        <v>1</v>
      </c>
      <c r="F279">
        <v>0</v>
      </c>
    </row>
    <row r="280" spans="1:6" x14ac:dyDescent="0.25">
      <c r="A280" t="str">
        <f>VLOOKUP(B280,[1]Sheet2!$A:$B,2,0)</f>
        <v>AUT</v>
      </c>
      <c r="B280" t="s">
        <v>170</v>
      </c>
      <c r="C280">
        <v>3</v>
      </c>
      <c r="D280">
        <v>1</v>
      </c>
      <c r="E280">
        <v>1</v>
      </c>
      <c r="F280">
        <v>0</v>
      </c>
    </row>
    <row r="281" spans="1:6" x14ac:dyDescent="0.25">
      <c r="A281" t="str">
        <f>VLOOKUP(B281,[1]Sheet2!$A:$B,2,0)</f>
        <v>BHS</v>
      </c>
      <c r="B281" t="s">
        <v>213</v>
      </c>
      <c r="C281">
        <v>3</v>
      </c>
      <c r="D281">
        <v>0</v>
      </c>
      <c r="E281">
        <v>1</v>
      </c>
      <c r="F281">
        <v>1</v>
      </c>
    </row>
    <row r="282" spans="1:6" x14ac:dyDescent="0.25">
      <c r="A282" t="str">
        <f>VLOOKUP(B282,[1]Sheet2!$A:$B,2,0)</f>
        <v>KOR</v>
      </c>
      <c r="B282" t="s">
        <v>272</v>
      </c>
      <c r="C282">
        <v>3</v>
      </c>
      <c r="D282">
        <v>0</v>
      </c>
      <c r="E282">
        <v>0</v>
      </c>
      <c r="F282">
        <v>0</v>
      </c>
    </row>
    <row r="283" spans="1:6" x14ac:dyDescent="0.25">
      <c r="A283" t="str">
        <f>VLOOKUP(B283,[1]Sheet2!$A:$B,2,0)</f>
        <v>CHN</v>
      </c>
      <c r="B283" t="s">
        <v>274</v>
      </c>
      <c r="C283">
        <v>3</v>
      </c>
      <c r="D283">
        <v>1</v>
      </c>
      <c r="E283">
        <v>1</v>
      </c>
      <c r="F283">
        <v>0</v>
      </c>
    </row>
    <row r="284" spans="1:6" x14ac:dyDescent="0.25">
      <c r="A284" t="str">
        <f>VLOOKUP(B284,[1]Sheet2!$A:$B,2,0)</f>
        <v>CHN</v>
      </c>
      <c r="B284" t="s">
        <v>276</v>
      </c>
      <c r="C284">
        <v>3</v>
      </c>
      <c r="D284">
        <v>1</v>
      </c>
      <c r="E284">
        <v>2</v>
      </c>
      <c r="F284">
        <v>0</v>
      </c>
    </row>
    <row r="285" spans="1:6" x14ac:dyDescent="0.25">
      <c r="A285" t="str">
        <f>VLOOKUP(B285,[1]Sheet2!$A:$B,2,0)</f>
        <v>CHN</v>
      </c>
      <c r="B285" t="s">
        <v>290</v>
      </c>
      <c r="C285">
        <v>3</v>
      </c>
      <c r="D285">
        <v>1</v>
      </c>
      <c r="E285">
        <v>0</v>
      </c>
      <c r="F285">
        <v>1</v>
      </c>
    </row>
    <row r="286" spans="1:6" x14ac:dyDescent="0.25">
      <c r="A286" t="str">
        <f>VLOOKUP(B286,[1]Sheet2!$A:$B,2,0)</f>
        <v>IND</v>
      </c>
      <c r="B286" t="s">
        <v>332</v>
      </c>
      <c r="C286">
        <v>3</v>
      </c>
      <c r="D286">
        <v>2</v>
      </c>
      <c r="E286">
        <v>1</v>
      </c>
      <c r="F286">
        <v>0</v>
      </c>
    </row>
    <row r="287" spans="1:6" x14ac:dyDescent="0.25">
      <c r="A287" t="str">
        <f>VLOOKUP(B287,[1]Sheet2!$A:$B,2,0)</f>
        <v>EGY</v>
      </c>
      <c r="B287" t="s">
        <v>10</v>
      </c>
      <c r="C287">
        <v>3</v>
      </c>
      <c r="D287">
        <v>1</v>
      </c>
      <c r="E287">
        <v>0</v>
      </c>
      <c r="F287">
        <v>1</v>
      </c>
    </row>
    <row r="288" spans="1:6" x14ac:dyDescent="0.25">
      <c r="A288" t="str">
        <f>VLOOKUP(B288,[1]Sheet2!$A:$B,2,0)</f>
        <v>LBN</v>
      </c>
      <c r="B288" t="s">
        <v>35</v>
      </c>
      <c r="C288">
        <v>3</v>
      </c>
      <c r="D288">
        <v>0</v>
      </c>
      <c r="E288">
        <v>0</v>
      </c>
      <c r="F288">
        <v>1</v>
      </c>
    </row>
    <row r="289" spans="1:6" x14ac:dyDescent="0.25">
      <c r="A289" t="str">
        <f>VLOOKUP(B289,[1]Sheet2!$A:$B,2,0)</f>
        <v>CHN</v>
      </c>
      <c r="B289" t="s">
        <v>128</v>
      </c>
      <c r="C289">
        <v>3</v>
      </c>
      <c r="D289">
        <v>0</v>
      </c>
      <c r="E289">
        <v>0</v>
      </c>
      <c r="F289">
        <v>1</v>
      </c>
    </row>
    <row r="290" spans="1:6" x14ac:dyDescent="0.25">
      <c r="A290" t="str">
        <f>VLOOKUP(B290,[1]Sheet2!$A:$B,2,0)</f>
        <v>USA</v>
      </c>
      <c r="B290" t="s">
        <v>130</v>
      </c>
      <c r="C290">
        <v>3</v>
      </c>
      <c r="D290">
        <v>0</v>
      </c>
      <c r="E290">
        <v>0</v>
      </c>
      <c r="F290">
        <v>1</v>
      </c>
    </row>
    <row r="291" spans="1:6" x14ac:dyDescent="0.25">
      <c r="A291" t="str">
        <f>VLOOKUP(B291,[1]Sheet2!$A:$B,2,0)</f>
        <v>MEX</v>
      </c>
      <c r="B291" t="s">
        <v>296</v>
      </c>
      <c r="C291">
        <v>3</v>
      </c>
      <c r="D291">
        <v>0</v>
      </c>
      <c r="E291">
        <v>0</v>
      </c>
      <c r="F291">
        <v>0</v>
      </c>
    </row>
    <row r="292" spans="1:6" x14ac:dyDescent="0.25">
      <c r="A292" t="str">
        <f>VLOOKUP(B292,[1]Sheet2!$A:$B,2,0)</f>
        <v>KWT</v>
      </c>
      <c r="B292" t="s">
        <v>11</v>
      </c>
      <c r="C292">
        <v>3</v>
      </c>
      <c r="D292">
        <v>1</v>
      </c>
      <c r="E292">
        <v>1</v>
      </c>
      <c r="F292">
        <v>0</v>
      </c>
    </row>
    <row r="293" spans="1:6" x14ac:dyDescent="0.25">
      <c r="A293" t="str">
        <f>VLOOKUP(B293,[1]Sheet2!$A:$B,2,0)</f>
        <v>JOR</v>
      </c>
      <c r="B293" t="s">
        <v>16</v>
      </c>
      <c r="C293">
        <v>3</v>
      </c>
      <c r="D293">
        <v>0</v>
      </c>
      <c r="E293">
        <v>2</v>
      </c>
      <c r="F293">
        <v>0</v>
      </c>
    </row>
    <row r="294" spans="1:6" x14ac:dyDescent="0.25">
      <c r="A294" t="str">
        <f>VLOOKUP(B294,[1]Sheet2!$A:$B,2,0)</f>
        <v>ITA</v>
      </c>
      <c r="B294" t="s">
        <v>197</v>
      </c>
      <c r="C294">
        <v>3</v>
      </c>
      <c r="D294">
        <v>2</v>
      </c>
      <c r="E294">
        <v>1</v>
      </c>
      <c r="F294">
        <v>0</v>
      </c>
    </row>
    <row r="295" spans="1:6" x14ac:dyDescent="0.25">
      <c r="A295" t="str">
        <f>VLOOKUP(B295,[1]Sheet2!$A:$B,2,0)</f>
        <v>FRA</v>
      </c>
      <c r="B295" t="s">
        <v>210</v>
      </c>
      <c r="C295">
        <v>3</v>
      </c>
      <c r="D295">
        <v>2</v>
      </c>
      <c r="E295">
        <v>1</v>
      </c>
      <c r="F295">
        <v>0</v>
      </c>
    </row>
    <row r="296" spans="1:6" x14ac:dyDescent="0.25">
      <c r="A296" t="str">
        <f>VLOOKUP(B296,[1]Sheet2!$A:$B,2,0)</f>
        <v>ITA</v>
      </c>
      <c r="B296" t="s">
        <v>98</v>
      </c>
      <c r="C296">
        <v>3</v>
      </c>
      <c r="D296">
        <v>1</v>
      </c>
      <c r="E296">
        <v>0</v>
      </c>
      <c r="F296">
        <v>2</v>
      </c>
    </row>
    <row r="297" spans="1:6" x14ac:dyDescent="0.25">
      <c r="A297" t="str">
        <f>VLOOKUP(B297,[1]Sheet2!$A:$B,2,0)</f>
        <v>ESP</v>
      </c>
      <c r="B297" t="s">
        <v>31</v>
      </c>
      <c r="C297">
        <v>3</v>
      </c>
      <c r="D297">
        <v>0</v>
      </c>
      <c r="E297">
        <v>0</v>
      </c>
      <c r="F297">
        <v>1</v>
      </c>
    </row>
    <row r="298" spans="1:6" x14ac:dyDescent="0.25">
      <c r="A298" t="str">
        <f>VLOOKUP(B298,[1]Sheet2!$A:$B,2,0)</f>
        <v>MWI</v>
      </c>
      <c r="B298" t="s">
        <v>43</v>
      </c>
      <c r="C298">
        <v>3</v>
      </c>
      <c r="D298">
        <v>1</v>
      </c>
      <c r="E298">
        <v>0</v>
      </c>
      <c r="F298">
        <v>0</v>
      </c>
    </row>
    <row r="299" spans="1:6" x14ac:dyDescent="0.25">
      <c r="A299" t="str">
        <f>VLOOKUP(B299,[1]Sheet2!$A:$B,2,0)</f>
        <v>SVN</v>
      </c>
      <c r="B299" t="s">
        <v>176</v>
      </c>
      <c r="C299">
        <v>3</v>
      </c>
      <c r="D299">
        <v>0</v>
      </c>
      <c r="E299">
        <v>1</v>
      </c>
      <c r="F299">
        <v>1</v>
      </c>
    </row>
    <row r="300" spans="1:6" x14ac:dyDescent="0.25">
      <c r="A300" t="str">
        <f>VLOOKUP(B300,[1]Sheet2!$A:$B,2,0)</f>
        <v>BGR</v>
      </c>
      <c r="B300" t="s">
        <v>280</v>
      </c>
      <c r="C300">
        <v>3</v>
      </c>
      <c r="D300">
        <v>0</v>
      </c>
      <c r="E300">
        <v>5</v>
      </c>
      <c r="F300">
        <v>1</v>
      </c>
    </row>
    <row r="301" spans="1:6" x14ac:dyDescent="0.25">
      <c r="A301" t="str">
        <f>VLOOKUP(B301,[1]Sheet2!$A:$B,2,0)</f>
        <v>USA</v>
      </c>
      <c r="B301" t="s">
        <v>69</v>
      </c>
      <c r="C301">
        <v>3</v>
      </c>
      <c r="D301">
        <v>0</v>
      </c>
      <c r="E301">
        <v>0</v>
      </c>
      <c r="F301">
        <v>2</v>
      </c>
    </row>
    <row r="302" spans="1:6" x14ac:dyDescent="0.25">
      <c r="A302" t="str">
        <f>VLOOKUP(B302,[1]Sheet2!$A:$B,2,0)</f>
        <v>JPN</v>
      </c>
      <c r="B302" t="s">
        <v>298</v>
      </c>
      <c r="C302">
        <v>4</v>
      </c>
      <c r="D302">
        <v>3</v>
      </c>
      <c r="E302">
        <v>0</v>
      </c>
      <c r="F302">
        <v>0</v>
      </c>
    </row>
    <row r="303" spans="1:6" x14ac:dyDescent="0.25">
      <c r="A303" t="str">
        <f>VLOOKUP(B303,[1]Sheet2!$A:$B,2,0)</f>
        <v>NZL</v>
      </c>
      <c r="B303" t="s">
        <v>65</v>
      </c>
      <c r="C303">
        <v>4</v>
      </c>
      <c r="D303">
        <v>0</v>
      </c>
      <c r="E303">
        <v>0</v>
      </c>
      <c r="F303">
        <v>1</v>
      </c>
    </row>
    <row r="304" spans="1:6" x14ac:dyDescent="0.25">
      <c r="A304" t="str">
        <f>VLOOKUP(B304,[1]Sheet2!$A:$B,2,0)</f>
        <v>IND</v>
      </c>
      <c r="B304" t="s">
        <v>9</v>
      </c>
      <c r="C304">
        <v>4</v>
      </c>
      <c r="D304">
        <v>1</v>
      </c>
      <c r="E304">
        <v>1</v>
      </c>
      <c r="F304">
        <v>0</v>
      </c>
    </row>
    <row r="305" spans="1:6" x14ac:dyDescent="0.25">
      <c r="A305" t="str">
        <f>VLOOKUP(B305,[1]Sheet2!$A:$B,2,0)</f>
        <v>MKD</v>
      </c>
      <c r="B305" t="s">
        <v>59</v>
      </c>
      <c r="C305">
        <v>4</v>
      </c>
      <c r="D305">
        <v>0</v>
      </c>
      <c r="E305">
        <v>1</v>
      </c>
      <c r="F305">
        <v>1</v>
      </c>
    </row>
    <row r="306" spans="1:6" x14ac:dyDescent="0.25">
      <c r="A306" t="str">
        <f>VLOOKUP(B306,[1]Sheet2!$A:$B,2,0)</f>
        <v>ITA</v>
      </c>
      <c r="B306" t="s">
        <v>299</v>
      </c>
      <c r="C306">
        <v>4</v>
      </c>
      <c r="D306">
        <v>0</v>
      </c>
      <c r="E306">
        <v>2</v>
      </c>
      <c r="F306">
        <v>0</v>
      </c>
    </row>
    <row r="307" spans="1:6" x14ac:dyDescent="0.25">
      <c r="A307" t="str">
        <f>VLOOKUP(B307,[1]Sheet2!$A:$B,2,0)</f>
        <v>CHN</v>
      </c>
      <c r="B307" t="s">
        <v>325</v>
      </c>
      <c r="C307">
        <v>4</v>
      </c>
      <c r="D307">
        <v>2</v>
      </c>
      <c r="E307">
        <v>1</v>
      </c>
      <c r="F307">
        <v>0</v>
      </c>
    </row>
    <row r="308" spans="1:6" x14ac:dyDescent="0.25">
      <c r="A308" t="str">
        <f>VLOOKUP(B308,[1]Sheet2!$A:$B,2,0)</f>
        <v>USA</v>
      </c>
      <c r="B308" t="s">
        <v>140</v>
      </c>
      <c r="C308">
        <v>4</v>
      </c>
      <c r="D308">
        <v>1</v>
      </c>
      <c r="E308">
        <v>1</v>
      </c>
      <c r="F308">
        <v>0</v>
      </c>
    </row>
    <row r="309" spans="1:6" x14ac:dyDescent="0.25">
      <c r="A309" t="str">
        <f>VLOOKUP(B309,[1]Sheet2!$A:$B,2,0)</f>
        <v>EST</v>
      </c>
      <c r="B309" t="s">
        <v>291</v>
      </c>
      <c r="C309">
        <v>4</v>
      </c>
      <c r="D309">
        <v>2</v>
      </c>
      <c r="E309">
        <v>0</v>
      </c>
      <c r="F309">
        <v>1</v>
      </c>
    </row>
    <row r="310" spans="1:6" x14ac:dyDescent="0.25">
      <c r="A310" t="str">
        <f>VLOOKUP(B310,[1]Sheet2!$A:$B,2,0)</f>
        <v>CHN</v>
      </c>
      <c r="B310" t="s">
        <v>307</v>
      </c>
      <c r="C310">
        <v>4</v>
      </c>
      <c r="D310">
        <v>2</v>
      </c>
      <c r="E310">
        <v>0</v>
      </c>
      <c r="F310">
        <v>0</v>
      </c>
    </row>
    <row r="311" spans="1:6" x14ac:dyDescent="0.25">
      <c r="A311" t="str">
        <f>VLOOKUP(B311,[1]Sheet2!$A:$B,2,0)</f>
        <v>CHN</v>
      </c>
      <c r="B311" t="s">
        <v>324</v>
      </c>
      <c r="C311">
        <v>4</v>
      </c>
      <c r="D311">
        <v>2</v>
      </c>
      <c r="E311">
        <v>0</v>
      </c>
      <c r="F311">
        <v>0</v>
      </c>
    </row>
    <row r="312" spans="1:6" x14ac:dyDescent="0.25">
      <c r="A312" t="str">
        <f>VLOOKUP(B312,[1]Sheet2!$A:$B,2,0)</f>
        <v>POL</v>
      </c>
      <c r="B312" t="s">
        <v>237</v>
      </c>
      <c r="C312">
        <v>4</v>
      </c>
      <c r="D312">
        <v>0</v>
      </c>
      <c r="E312">
        <v>1</v>
      </c>
      <c r="F312">
        <v>0</v>
      </c>
    </row>
    <row r="313" spans="1:6" x14ac:dyDescent="0.25">
      <c r="A313" t="str">
        <f>VLOOKUP(B313,[1]Sheet2!$A:$B,2,0)</f>
        <v>ITA</v>
      </c>
      <c r="B313" t="s">
        <v>105</v>
      </c>
      <c r="C313">
        <v>4</v>
      </c>
      <c r="D313">
        <v>2</v>
      </c>
      <c r="E313">
        <v>0</v>
      </c>
      <c r="F313">
        <v>0</v>
      </c>
    </row>
    <row r="314" spans="1:6" x14ac:dyDescent="0.25">
      <c r="A314" t="str">
        <f>VLOOKUP(B314,[1]Sheet2!$A:$B,2,0)</f>
        <v>AUS</v>
      </c>
      <c r="B314" t="s">
        <v>306</v>
      </c>
      <c r="C314">
        <v>4</v>
      </c>
      <c r="D314">
        <v>0</v>
      </c>
      <c r="E314">
        <v>0</v>
      </c>
      <c r="F314">
        <v>0</v>
      </c>
    </row>
    <row r="315" spans="1:6" x14ac:dyDescent="0.25">
      <c r="A315" t="str">
        <f>VLOOKUP(B315,[1]Sheet2!$A:$B,2,0)</f>
        <v>CHN</v>
      </c>
      <c r="B315" t="s">
        <v>316</v>
      </c>
      <c r="C315">
        <v>4</v>
      </c>
      <c r="D315">
        <v>0</v>
      </c>
      <c r="E315">
        <v>1</v>
      </c>
      <c r="F315">
        <v>1</v>
      </c>
    </row>
    <row r="316" spans="1:6" x14ac:dyDescent="0.25">
      <c r="A316" t="str">
        <f>VLOOKUP(B316,[1]Sheet2!$A:$B,2,0)</f>
        <v>PHL</v>
      </c>
      <c r="B316" t="s">
        <v>58</v>
      </c>
      <c r="C316">
        <v>4</v>
      </c>
      <c r="D316">
        <v>1</v>
      </c>
      <c r="E316">
        <v>2</v>
      </c>
      <c r="F316">
        <v>0</v>
      </c>
    </row>
    <row r="317" spans="1:6" x14ac:dyDescent="0.25">
      <c r="A317" t="str">
        <f>VLOOKUP(B317,[1]Sheet2!$A:$B,2,0)</f>
        <v>IRL</v>
      </c>
      <c r="B317" t="s">
        <v>92</v>
      </c>
      <c r="C317">
        <v>4</v>
      </c>
      <c r="D317">
        <v>0</v>
      </c>
      <c r="E317">
        <v>0</v>
      </c>
      <c r="F317">
        <v>1</v>
      </c>
    </row>
    <row r="318" spans="1:6" x14ac:dyDescent="0.25">
      <c r="A318" t="str">
        <f>VLOOKUP(B318,[1]Sheet2!$A:$B,2,0)</f>
        <v>COL</v>
      </c>
      <c r="B318" t="s">
        <v>44</v>
      </c>
      <c r="C318">
        <v>5</v>
      </c>
      <c r="D318">
        <v>1</v>
      </c>
      <c r="E318">
        <v>0</v>
      </c>
      <c r="F318">
        <v>0</v>
      </c>
    </row>
    <row r="319" spans="1:6" x14ac:dyDescent="0.25">
      <c r="A319" t="str">
        <f>VLOOKUP(B319,[1]Sheet2!$A:$B,2,0)</f>
        <v>KAZ</v>
      </c>
      <c r="B319" t="s">
        <v>20</v>
      </c>
      <c r="C319">
        <v>5</v>
      </c>
      <c r="D319">
        <v>1</v>
      </c>
      <c r="E319">
        <v>0</v>
      </c>
      <c r="F319">
        <v>0</v>
      </c>
    </row>
    <row r="320" spans="1:6" x14ac:dyDescent="0.25">
      <c r="A320" t="str">
        <f>VLOOKUP(B320,[1]Sheet2!$A:$B,2,0)</f>
        <v>ZAF</v>
      </c>
      <c r="B320" t="s">
        <v>97</v>
      </c>
      <c r="C320">
        <v>5</v>
      </c>
      <c r="D320">
        <v>1</v>
      </c>
      <c r="E320">
        <v>0</v>
      </c>
      <c r="F320">
        <v>1</v>
      </c>
    </row>
    <row r="321" spans="1:6" x14ac:dyDescent="0.25">
      <c r="A321" t="str">
        <f>VLOOKUP(B321,[1]Sheet2!$A:$B,2,0)</f>
        <v>CYM</v>
      </c>
      <c r="B321" t="s">
        <v>106</v>
      </c>
      <c r="C321">
        <v>5</v>
      </c>
      <c r="D321">
        <v>0</v>
      </c>
      <c r="E321">
        <v>1</v>
      </c>
      <c r="F321">
        <v>0</v>
      </c>
    </row>
    <row r="322" spans="1:6" x14ac:dyDescent="0.25">
      <c r="A322" t="str">
        <f>VLOOKUP(B322,[1]Sheet2!$A:$B,2,0)</f>
        <v>BRA</v>
      </c>
      <c r="B322" t="s">
        <v>236</v>
      </c>
      <c r="C322">
        <v>5</v>
      </c>
      <c r="D322">
        <v>2</v>
      </c>
      <c r="E322">
        <v>0</v>
      </c>
      <c r="F322">
        <v>0</v>
      </c>
    </row>
    <row r="323" spans="1:6" x14ac:dyDescent="0.25">
      <c r="A323" t="str">
        <f>VLOOKUP(B323,[1]Sheet2!$A:$B,2,0)</f>
        <v>TWN</v>
      </c>
      <c r="B323" t="s">
        <v>288</v>
      </c>
      <c r="C323">
        <v>5</v>
      </c>
      <c r="D323">
        <v>0</v>
      </c>
      <c r="E323">
        <v>1</v>
      </c>
      <c r="F323">
        <v>0</v>
      </c>
    </row>
    <row r="324" spans="1:6" x14ac:dyDescent="0.25">
      <c r="A324" t="str">
        <f>VLOOKUP(B324,[1]Sheet2!$A:$B,2,0)</f>
        <v>NAM</v>
      </c>
      <c r="B324" t="s">
        <v>318</v>
      </c>
      <c r="C324">
        <v>5</v>
      </c>
      <c r="D324">
        <v>1</v>
      </c>
      <c r="E324">
        <v>0</v>
      </c>
      <c r="F324">
        <v>1</v>
      </c>
    </row>
    <row r="325" spans="1:6" x14ac:dyDescent="0.25">
      <c r="A325" t="str">
        <f>VLOOKUP(B325,[1]Sheet2!$A:$B,2,0)</f>
        <v>POL</v>
      </c>
      <c r="B325" t="s">
        <v>321</v>
      </c>
      <c r="C325">
        <v>5</v>
      </c>
      <c r="D325">
        <v>0</v>
      </c>
      <c r="E325">
        <v>0</v>
      </c>
      <c r="F325">
        <v>1</v>
      </c>
    </row>
    <row r="326" spans="1:6" x14ac:dyDescent="0.25">
      <c r="A326" t="str">
        <f>VLOOKUP(B326,[1]Sheet2!$A:$B,2,0)</f>
        <v>POL</v>
      </c>
      <c r="B326" t="s">
        <v>158</v>
      </c>
      <c r="C326">
        <v>5</v>
      </c>
      <c r="D326">
        <v>1</v>
      </c>
      <c r="E326">
        <v>0</v>
      </c>
      <c r="F326">
        <v>0</v>
      </c>
    </row>
    <row r="327" spans="1:6" x14ac:dyDescent="0.25">
      <c r="A327" t="str">
        <f>VLOOKUP(B327,[1]Sheet2!$A:$B,2,0)</f>
        <v>CHE</v>
      </c>
      <c r="B327" t="s">
        <v>166</v>
      </c>
      <c r="C327">
        <v>5</v>
      </c>
      <c r="D327">
        <v>2</v>
      </c>
      <c r="E327">
        <v>0</v>
      </c>
      <c r="F327">
        <v>0</v>
      </c>
    </row>
    <row r="328" spans="1:6" x14ac:dyDescent="0.25">
      <c r="A328" t="str">
        <f>VLOOKUP(B328,[1]Sheet2!$A:$B,2,0)</f>
        <v>CHN</v>
      </c>
      <c r="B328" t="s">
        <v>292</v>
      </c>
      <c r="C328">
        <v>5</v>
      </c>
      <c r="D328">
        <v>1</v>
      </c>
      <c r="E328">
        <v>1</v>
      </c>
      <c r="F328">
        <v>0</v>
      </c>
    </row>
    <row r="329" spans="1:6" x14ac:dyDescent="0.25">
      <c r="A329" t="str">
        <f>VLOOKUP(B329,[1]Sheet2!$A:$B,2,0)</f>
        <v>ITA</v>
      </c>
      <c r="B329" t="s">
        <v>211</v>
      </c>
      <c r="C329">
        <v>5</v>
      </c>
      <c r="D329">
        <v>1</v>
      </c>
      <c r="E329">
        <v>0</v>
      </c>
      <c r="F329">
        <v>0</v>
      </c>
    </row>
    <row r="330" spans="1:6" x14ac:dyDescent="0.25">
      <c r="A330" t="str">
        <f>VLOOKUP(B330,[1]Sheet2!$A:$B,2,0)</f>
        <v>SVK</v>
      </c>
      <c r="B330" t="s">
        <v>48</v>
      </c>
      <c r="C330">
        <v>5</v>
      </c>
      <c r="D330">
        <v>1</v>
      </c>
      <c r="E330">
        <v>0</v>
      </c>
      <c r="F330">
        <v>1</v>
      </c>
    </row>
    <row r="331" spans="1:6" x14ac:dyDescent="0.25">
      <c r="A331" t="str">
        <f>VLOOKUP(B331,[1]Sheet2!$A:$B,2,0)</f>
        <v>RUS</v>
      </c>
      <c r="B331" t="s">
        <v>201</v>
      </c>
      <c r="C331">
        <v>5</v>
      </c>
      <c r="D331">
        <v>0</v>
      </c>
      <c r="E331">
        <v>0</v>
      </c>
      <c r="F331">
        <v>1</v>
      </c>
    </row>
    <row r="332" spans="1:6" x14ac:dyDescent="0.25">
      <c r="A332" t="str">
        <f>VLOOKUP(B332,[1]Sheet2!$A:$B,2,0)</f>
        <v>CAN</v>
      </c>
      <c r="B332" t="s">
        <v>88</v>
      </c>
      <c r="C332">
        <v>5</v>
      </c>
      <c r="D332">
        <v>0</v>
      </c>
      <c r="E332">
        <v>0</v>
      </c>
      <c r="F332">
        <v>0</v>
      </c>
    </row>
    <row r="333" spans="1:6" x14ac:dyDescent="0.25">
      <c r="A333" t="str">
        <f>VLOOKUP(B333,[1]Sheet2!$A:$B,2,0)</f>
        <v>EGY</v>
      </c>
      <c r="B333" t="s">
        <v>12</v>
      </c>
      <c r="C333">
        <v>6</v>
      </c>
      <c r="D333">
        <v>1</v>
      </c>
      <c r="E333">
        <v>0</v>
      </c>
      <c r="F333">
        <v>0</v>
      </c>
    </row>
    <row r="334" spans="1:6" x14ac:dyDescent="0.25">
      <c r="A334" t="str">
        <f>VLOOKUP(B334,[1]Sheet2!$A:$B,2,0)</f>
        <v>THA</v>
      </c>
      <c r="B334" t="s">
        <v>29</v>
      </c>
      <c r="C334">
        <v>6</v>
      </c>
      <c r="D334">
        <v>0</v>
      </c>
      <c r="E334">
        <v>1</v>
      </c>
      <c r="F334">
        <v>1</v>
      </c>
    </row>
    <row r="335" spans="1:6" x14ac:dyDescent="0.25">
      <c r="A335" t="str">
        <f>VLOOKUP(B335,[1]Sheet2!$A:$B,2,0)</f>
        <v>ITA</v>
      </c>
      <c r="B335" t="s">
        <v>251</v>
      </c>
      <c r="C335">
        <v>8</v>
      </c>
      <c r="D335">
        <v>0</v>
      </c>
      <c r="E335">
        <v>0</v>
      </c>
      <c r="F335">
        <v>0</v>
      </c>
    </row>
    <row r="336" spans="1:6" x14ac:dyDescent="0.25">
      <c r="A336" t="str">
        <f>VLOOKUP(B336,[1]Sheet2!$A:$B,2,0)</f>
        <v>PAK</v>
      </c>
      <c r="B336" t="s">
        <v>137</v>
      </c>
      <c r="C336">
        <v>11</v>
      </c>
      <c r="D336">
        <v>0</v>
      </c>
      <c r="E336">
        <v>0</v>
      </c>
      <c r="F33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A4" sqref="A4:B9"/>
      <pivotSelection pane="bottomRight" showHeader="1" extendable="1" axis="axisRow" max="8" activeRow="3" previousRow="8" click="1" r:id="rId1">
        <pivotArea dataOnly="0" axis="axisRow" fieldPosition="0">
          <references count="1">
            <reference field="3" count="6">
              <x v="0"/>
              <x v="1"/>
              <x v="2"/>
              <x v="3"/>
              <x v="4"/>
              <x v="5"/>
            </reference>
          </references>
        </pivotArea>
      </pivotSelection>
    </sheetView>
  </sheetViews>
  <sheetFormatPr defaultRowHeight="14" x14ac:dyDescent="0.25"/>
  <cols>
    <col min="1" max="1" width="9.81640625" customWidth="1"/>
    <col min="2" max="2" width="14.453125" bestFit="1" customWidth="1"/>
    <col min="3" max="3" width="13.26953125" bestFit="1" customWidth="1"/>
  </cols>
  <sheetData>
    <row r="3" spans="1:2" x14ac:dyDescent="0.25">
      <c r="A3" s="1" t="s">
        <v>341</v>
      </c>
      <c r="B3" t="s">
        <v>344</v>
      </c>
    </row>
    <row r="4" spans="1:2" x14ac:dyDescent="0.25">
      <c r="A4" s="2">
        <v>0</v>
      </c>
      <c r="B4" s="3">
        <v>146</v>
      </c>
    </row>
    <row r="5" spans="1:2" x14ac:dyDescent="0.25">
      <c r="A5" s="2">
        <v>1</v>
      </c>
      <c r="B5" s="3">
        <v>142</v>
      </c>
    </row>
    <row r="6" spans="1:2" x14ac:dyDescent="0.25">
      <c r="A6" s="2">
        <v>2</v>
      </c>
      <c r="B6" s="3">
        <v>39</v>
      </c>
    </row>
    <row r="7" spans="1:2" x14ac:dyDescent="0.25">
      <c r="A7" s="2">
        <v>3</v>
      </c>
      <c r="B7" s="3">
        <v>6</v>
      </c>
    </row>
    <row r="8" spans="1:2" x14ac:dyDescent="0.25">
      <c r="A8" s="2">
        <v>4</v>
      </c>
      <c r="B8" s="3">
        <v>1</v>
      </c>
    </row>
    <row r="9" spans="1:2" x14ac:dyDescent="0.25">
      <c r="A9" s="2">
        <v>5</v>
      </c>
      <c r="B9" s="3">
        <v>1</v>
      </c>
    </row>
    <row r="10" spans="1:2" x14ac:dyDescent="0.25">
      <c r="A10" s="2" t="s">
        <v>342</v>
      </c>
      <c r="B10" s="3"/>
    </row>
    <row r="11" spans="1:2" x14ac:dyDescent="0.25">
      <c r="A11" s="2" t="s">
        <v>343</v>
      </c>
      <c r="B11" s="3">
        <v>335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="232" zoomScaleNormal="232" workbookViewId="0">
      <selection activeCell="A7" sqref="A7:E7"/>
    </sheetView>
  </sheetViews>
  <sheetFormatPr defaultRowHeight="14" x14ac:dyDescent="0.25"/>
  <sheetData>
    <row r="1" spans="1:8" x14ac:dyDescent="0.25">
      <c r="A1">
        <v>11</v>
      </c>
      <c r="B1">
        <v>1</v>
      </c>
      <c r="C1">
        <f t="shared" ref="C1:C9" si="0">B1/335</f>
        <v>2.9850746268656717E-3</v>
      </c>
      <c r="D1">
        <v>2.9850746268656717E-3</v>
      </c>
      <c r="E1">
        <f>1-D1</f>
        <v>0.9970149253731343</v>
      </c>
      <c r="F1">
        <v>0</v>
      </c>
      <c r="G1">
        <v>110</v>
      </c>
      <c r="H1">
        <f>G1/335</f>
        <v>0.32835820895522388</v>
      </c>
    </row>
    <row r="2" spans="1:8" x14ac:dyDescent="0.25">
      <c r="A2">
        <v>8</v>
      </c>
      <c r="B2">
        <v>1</v>
      </c>
      <c r="C2">
        <f t="shared" si="0"/>
        <v>2.9850746268656717E-3</v>
      </c>
      <c r="D2">
        <f>D1+C2</f>
        <v>5.9701492537313433E-3</v>
      </c>
      <c r="E2">
        <f t="shared" ref="E2:E9" si="1">1-D2</f>
        <v>0.99402985074626871</v>
      </c>
      <c r="F2">
        <v>1</v>
      </c>
      <c r="G2">
        <v>114</v>
      </c>
      <c r="H2">
        <f t="shared" ref="H2:H18" si="2">G2/335</f>
        <v>0.34029850746268658</v>
      </c>
    </row>
    <row r="3" spans="1:8" x14ac:dyDescent="0.25">
      <c r="A3">
        <v>6</v>
      </c>
      <c r="B3">
        <v>2</v>
      </c>
      <c r="C3">
        <f t="shared" si="0"/>
        <v>5.9701492537313433E-3</v>
      </c>
      <c r="D3">
        <f t="shared" ref="D3:D9" si="3">D2+C3</f>
        <v>1.1940298507462687E-2</v>
      </c>
      <c r="E3">
        <f t="shared" si="1"/>
        <v>0.9880597014925373</v>
      </c>
      <c r="F3">
        <v>2</v>
      </c>
      <c r="G3">
        <v>67</v>
      </c>
      <c r="H3">
        <f t="shared" si="2"/>
        <v>0.2</v>
      </c>
    </row>
    <row r="4" spans="1:8" x14ac:dyDescent="0.25">
      <c r="A4">
        <v>5</v>
      </c>
      <c r="B4">
        <v>15</v>
      </c>
      <c r="C4">
        <f t="shared" si="0"/>
        <v>4.4776119402985072E-2</v>
      </c>
      <c r="D4">
        <f t="shared" si="3"/>
        <v>5.6716417910447757E-2</v>
      </c>
      <c r="E4">
        <f t="shared" si="1"/>
        <v>0.94328358208955221</v>
      </c>
      <c r="F4">
        <v>3</v>
      </c>
      <c r="G4">
        <v>37</v>
      </c>
      <c r="H4">
        <f t="shared" si="2"/>
        <v>0.11044776119402985</v>
      </c>
    </row>
    <row r="5" spans="1:8" x14ac:dyDescent="0.25">
      <c r="A5">
        <v>4</v>
      </c>
      <c r="B5">
        <v>16</v>
      </c>
      <c r="C5">
        <f t="shared" si="0"/>
        <v>4.7761194029850747E-2</v>
      </c>
      <c r="D5">
        <f t="shared" si="3"/>
        <v>0.1044776119402985</v>
      </c>
      <c r="E5">
        <f t="shared" si="1"/>
        <v>0.89552238805970152</v>
      </c>
      <c r="F5">
        <v>4</v>
      </c>
      <c r="G5">
        <v>5</v>
      </c>
      <c r="H5" s="4">
        <f t="shared" si="2"/>
        <v>1.4925373134328358E-2</v>
      </c>
    </row>
    <row r="6" spans="1:8" x14ac:dyDescent="0.25">
      <c r="A6">
        <v>3</v>
      </c>
      <c r="B6">
        <v>40</v>
      </c>
      <c r="C6">
        <f t="shared" si="0"/>
        <v>0.11940298507462686</v>
      </c>
      <c r="D6">
        <f t="shared" si="3"/>
        <v>0.22388059701492535</v>
      </c>
      <c r="E6">
        <f t="shared" si="1"/>
        <v>0.77611940298507465</v>
      </c>
      <c r="F6">
        <v>5</v>
      </c>
      <c r="G6">
        <v>2</v>
      </c>
      <c r="H6" s="4">
        <f t="shared" si="2"/>
        <v>5.9701492537313433E-3</v>
      </c>
    </row>
    <row r="7" spans="1:8" x14ac:dyDescent="0.25">
      <c r="A7">
        <v>2</v>
      </c>
      <c r="B7">
        <v>78</v>
      </c>
      <c r="C7">
        <f t="shared" si="0"/>
        <v>0.23283582089552238</v>
      </c>
      <c r="D7">
        <f t="shared" si="3"/>
        <v>0.4567164179104477</v>
      </c>
      <c r="E7">
        <f t="shared" si="1"/>
        <v>0.5432835820895523</v>
      </c>
      <c r="F7">
        <v>0</v>
      </c>
      <c r="G7">
        <v>203</v>
      </c>
      <c r="H7">
        <f t="shared" si="2"/>
        <v>0.60597014925373138</v>
      </c>
    </row>
    <row r="8" spans="1:8" x14ac:dyDescent="0.25">
      <c r="A8">
        <v>1</v>
      </c>
      <c r="B8">
        <v>107</v>
      </c>
      <c r="C8">
        <f t="shared" si="0"/>
        <v>0.31940298507462689</v>
      </c>
      <c r="D8">
        <f t="shared" si="3"/>
        <v>0.77611940298507465</v>
      </c>
      <c r="E8">
        <f t="shared" si="1"/>
        <v>0.22388059701492535</v>
      </c>
      <c r="F8">
        <v>1</v>
      </c>
      <c r="G8">
        <v>101</v>
      </c>
      <c r="H8">
        <f t="shared" si="2"/>
        <v>0.30149253731343284</v>
      </c>
    </row>
    <row r="9" spans="1:8" x14ac:dyDescent="0.25">
      <c r="A9">
        <v>0</v>
      </c>
      <c r="B9">
        <v>75</v>
      </c>
      <c r="C9">
        <f t="shared" si="0"/>
        <v>0.22388059701492538</v>
      </c>
      <c r="D9">
        <f t="shared" si="3"/>
        <v>1</v>
      </c>
      <c r="E9">
        <f t="shared" si="1"/>
        <v>0</v>
      </c>
      <c r="F9">
        <v>2</v>
      </c>
      <c r="G9">
        <v>25</v>
      </c>
      <c r="H9">
        <f t="shared" si="2"/>
        <v>7.4626865671641784E-2</v>
      </c>
    </row>
    <row r="10" spans="1:8" x14ac:dyDescent="0.25">
      <c r="F10">
        <v>3</v>
      </c>
      <c r="G10">
        <v>3</v>
      </c>
      <c r="H10">
        <f t="shared" si="2"/>
        <v>8.9552238805970154E-3</v>
      </c>
    </row>
    <row r="11" spans="1:8" x14ac:dyDescent="0.25">
      <c r="B11">
        <v>5</v>
      </c>
      <c r="C11">
        <v>4</v>
      </c>
      <c r="D11">
        <v>3</v>
      </c>
      <c r="E11">
        <v>3</v>
      </c>
      <c r="F11">
        <v>4</v>
      </c>
      <c r="G11">
        <v>1</v>
      </c>
      <c r="H11">
        <f t="shared" si="2"/>
        <v>2.9850746268656717E-3</v>
      </c>
    </row>
    <row r="12" spans="1:8" x14ac:dyDescent="0.25">
      <c r="B12">
        <v>2</v>
      </c>
      <c r="F12">
        <v>5</v>
      </c>
      <c r="G12">
        <v>2</v>
      </c>
      <c r="H12">
        <f t="shared" si="2"/>
        <v>5.9701492537313433E-3</v>
      </c>
    </row>
    <row r="13" spans="1:8" x14ac:dyDescent="0.25">
      <c r="F13">
        <v>0</v>
      </c>
      <c r="G13">
        <v>146</v>
      </c>
      <c r="H13">
        <f t="shared" si="2"/>
        <v>0.43582089552238806</v>
      </c>
    </row>
    <row r="14" spans="1:8" x14ac:dyDescent="0.25">
      <c r="F14">
        <v>1</v>
      </c>
      <c r="G14">
        <v>142</v>
      </c>
      <c r="H14">
        <f t="shared" si="2"/>
        <v>0.42388059701492536</v>
      </c>
    </row>
    <row r="15" spans="1:8" x14ac:dyDescent="0.25">
      <c r="F15">
        <v>2</v>
      </c>
      <c r="G15">
        <v>39</v>
      </c>
      <c r="H15">
        <f t="shared" si="2"/>
        <v>0.11641791044776119</v>
      </c>
    </row>
    <row r="16" spans="1:8" x14ac:dyDescent="0.25">
      <c r="F16">
        <v>3</v>
      </c>
      <c r="G16">
        <v>6</v>
      </c>
      <c r="H16">
        <f t="shared" si="2"/>
        <v>1.7910447761194031E-2</v>
      </c>
    </row>
    <row r="17" spans="6:8" x14ac:dyDescent="0.25">
      <c r="F17">
        <v>4</v>
      </c>
      <c r="G17">
        <v>1</v>
      </c>
      <c r="H17">
        <f t="shared" si="2"/>
        <v>2.9850746268656717E-3</v>
      </c>
    </row>
    <row r="18" spans="6:8" x14ac:dyDescent="0.25">
      <c r="F18">
        <v>5</v>
      </c>
      <c r="G18">
        <v>1</v>
      </c>
      <c r="H18">
        <f t="shared" si="2"/>
        <v>2.9850746268656717E-3</v>
      </c>
    </row>
  </sheetData>
  <sortState ref="A1:C18">
    <sortCondition descending="1" ref="A1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tianyu</cp:lastModifiedBy>
  <dcterms:created xsi:type="dcterms:W3CDTF">2025-09-22T07:37:47Z</dcterms:created>
  <dcterms:modified xsi:type="dcterms:W3CDTF">2025-09-26T03:15:29Z</dcterms:modified>
</cp:coreProperties>
</file>